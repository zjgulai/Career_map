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cc03cbef949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复测总览" sheetId="1" r:id="Ree8d1cdf6be34125"/>
    <x:sheet xmlns:r="http://schemas.openxmlformats.org/officeDocument/2006/relationships" name="D01 受控复测" sheetId="2" r:id="R96662893f96a463c"/>
    <x:sheet xmlns:r="http://schemas.openxmlformats.org/officeDocument/2006/relationships" name="D02 受控复测" sheetId="3" r:id="R732b43eaddf64178"/>
    <x:sheet xmlns:r="http://schemas.openxmlformats.org/officeDocument/2006/relationships" name="复测证据" sheetId="4" r:id="R77d1f8ea1f74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"/>
    <x:numFmt numFmtId="202" formatCode="0%"/>
  </x:numFmts>
  <x:fonts count="9">
    <x:font>
      <x:sz val="11"/>
      <x:name val="Carlito"/>
    </x:font>
    <x:font>
      <x:b/>
      <x:sz val="15"/>
      <x:color rgb="FF2B2527"/>
      <x:name val="Arial"/>
    </x:font>
    <x:font>
      <x:i/>
      <x:sz val="10"/>
      <x:color rgb="FF6F6362"/>
      <x:name val="Arial"/>
    </x:font>
    <x:font>
      <x:b/>
      <x:sz val="10"/>
      <x:color rgb="FFFFFFFF"/>
      <x:name val="Arial"/>
    </x:font>
    <x:font>
      <x:sz val="10"/>
      <x:color rgb="FF2B2527"/>
      <x:name val="Arial"/>
    </x:font>
    <x:font>
      <x:b/>
      <x:sz val="10"/>
      <x:color rgb="FF2F6957"/>
      <x:name val="Arial"/>
    </x:font>
    <x:font>
      <x:b/>
      <x:sz val="10"/>
      <x:color rgb="FF7A5D19"/>
      <x:name val="Arial"/>
    </x:font>
    <x:font>
      <x:b/>
      <x:sz val="10"/>
      <x:color rgb="FF2B2527"/>
      <x:name val="Arial"/>
    </x:font>
    <x:font>
      <x:b/>
      <x:sz val="10"/>
      <x:color rgb="FFA73535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87062"/>
      </x:patternFill>
    </x:fill>
    <x:fill>
      <x:patternFill patternType="solid">
        <x:fgColor rgb="FFEEF8F3"/>
      </x:patternFill>
    </x:fill>
    <x:fill>
      <x:patternFill patternType="solid">
        <x:fgColor rgb="FFFFF8E4"/>
      </x:patternFill>
    </x:fill>
    <x:fill>
      <x:patternFill patternType="solid">
        <x:fgColor rgb="FFFFF1EB"/>
      </x:patternFill>
    </x:fill>
    <x:fill>
      <x:patternFill patternType="solid">
        <x:fgColor rgb="FFFDEEEE"/>
      </x:patternFill>
    </x:fill>
  </x:fills>
  <x:borders count="19">
    <x:border/>
    <x:border>
      <x:bottom style="thin">
        <x:color rgb="FFB87062"/>
      </x:bottom>
    </x:border>
    <x:border>
      <x:left style="thin">
        <x:color rgb="FFB87062"/>
      </x:left>
      <x:top style="thin">
        <x:color rgb="FFB87062"/>
      </x:top>
      <x:bottom style="thin">
        <x:color rgb="FFB87062"/>
      </x:bottom>
    </x:border>
    <x:border>
      <x:top style="thin">
        <x:color rgb="FFB87062"/>
      </x:top>
      <x:bottom style="thin">
        <x:color rgb="FFB87062"/>
      </x:bottom>
    </x:border>
    <x:border>
      <x:right style="thin">
        <x:color rgb="FFB87062"/>
      </x:right>
      <x:top style="thin">
        <x:color rgb="FFB87062"/>
      </x:top>
      <x:bottom style="thin">
        <x:color rgb="FFB87062"/>
      </x:bottom>
    </x:border>
    <x:border>
      <x:left style="thin">
        <x:color rgb="FFE1D8D3"/>
      </x:left>
      <x:top style="thin">
        <x:color rgb="FFE1D8D3"/>
      </x:top>
    </x:border>
    <x:border>
      <x:top style="thin">
        <x:color rgb="FFE1D8D3"/>
      </x:top>
    </x:border>
    <x:border>
      <x:right style="thin">
        <x:color rgb="FFE1D8D3"/>
      </x:right>
      <x:top style="thin">
        <x:color rgb="FFE1D8D3"/>
      </x:top>
    </x:border>
    <x:border>
      <x:left style="thin">
        <x:color rgb="FFE1D8D3"/>
      </x:left>
    </x:border>
    <x:border>
      <x:right style="thin">
        <x:color rgb="FFE1D8D3"/>
      </x:right>
    </x:border>
    <x:border>
      <x:left style="thin">
        <x:color rgb="FFE1D8D3"/>
      </x:left>
      <x:bottom style="thin">
        <x:color rgb="FFE1D8D3"/>
      </x:bottom>
    </x:border>
    <x:border>
      <x:bottom style="thin">
        <x:color rgb="FFE1D8D3"/>
      </x:bottom>
    </x:border>
    <x:border>
      <x:right style="thin">
        <x:color rgb="FFE1D8D3"/>
      </x:right>
      <x:bottom style="thin">
        <x:color rgb="FFE1D8D3"/>
      </x:bottom>
    </x:border>
    <x:border>
      <x:left style="thin">
        <x:color rgb="FFE8B9B4"/>
      </x:left>
      <x:top style="thin">
        <x:color rgb="FFE8B9B4"/>
      </x:top>
      <x:bottom style="thin">
        <x:color rgb="FFE8B9B4"/>
      </x:bottom>
    </x:border>
    <x:border>
      <x:top style="thin">
        <x:color rgb="FFE8B9B4"/>
      </x:top>
      <x:bottom style="thin">
        <x:color rgb="FFE8B9B4"/>
      </x:bottom>
    </x:border>
    <x:border>
      <x:right style="thin">
        <x:color rgb="FFE8B9B4"/>
      </x:right>
      <x:top style="thin">
        <x:color rgb="FFE8B9B4"/>
      </x:top>
      <x:bottom style="thin">
        <x:color rgb="FFE8B9B4"/>
      </x:bottom>
    </x:border>
    <x:border>
      <x:left style="thin">
        <x:color rgb="FFB8D9CA"/>
      </x:left>
      <x:top style="thin">
        <x:color rgb="FFB8D9CA"/>
      </x:top>
      <x:bottom style="thin">
        <x:color rgb="FFB8D9CA"/>
      </x:bottom>
    </x:border>
    <x:border>
      <x:top style="thin">
        <x:color rgb="FFB8D9CA"/>
      </x:top>
      <x:bottom style="thin">
        <x:color rgb="FFB8D9CA"/>
      </x:bottom>
    </x:border>
    <x:border>
      <x:right style="thin">
        <x:color rgb="FFB8D9CA"/>
      </x:right>
      <x:top style="thin">
        <x:color rgb="FFB8D9CA"/>
      </x:top>
      <x:bottom style="thin">
        <x:color rgb="FFB8D9CA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1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200" fontId="4" fillId="3" borderId="11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horizontal="center" vertical="top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1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11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2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borderId="15" xfId="0" applyNumberFormat="1" applyFont="1" applyFill="1" applyBorder="1"/>
    <x:xf numFmtId="0" fontId="8" fillId="6" borderId="13" xfId="0" applyNumberFormat="1" applyFont="1" applyFill="1" applyBorder="1" applyAlignment="1">
      <x:alignment wrapText="1"/>
    </x:xf>
    <x:xf numFmtId="0" fontId="8" fillId="6" borderId="14" xfId="0" applyNumberFormat="1" applyFont="1" applyFill="1" applyBorder="1" applyAlignment="1">
      <x:alignment wrapText="1"/>
    </x:xf>
    <x:xf numFmtId="0" fontId="8" fillId="6" borderId="15" xfId="0" applyNumberFormat="1" applyFont="1" applyFill="1" applyBorder="1" applyAlignment="1">
      <x:alignment wrapText="1"/>
    </x:xf>
    <x:xf numFmtId="0" fontId="8" fillId="6" borderId="13" xfId="0" applyNumberFormat="1" applyFont="1" applyFill="1" applyBorder="1" applyAlignment="1">
      <x:alignment vertical="top" wrapText="1"/>
    </x:xf>
    <x:xf numFmtId="0" fontId="8" fillId="6" borderId="14" xfId="0" applyNumberFormat="1" applyFont="1" applyFill="1" applyBorder="1" applyAlignment="1">
      <x:alignment vertical="top" wrapText="1"/>
    </x:xf>
    <x:xf numFmtId="0" fontId="8" fillId="6" borderId="1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6" xfId="0" applyNumberFormat="1" applyFont="1" applyFill="1" applyBorder="1"/>
    <x:xf numFmtId="0" fontId="5" fillId="3" borderId="17" xfId="0" applyNumberFormat="1" applyFont="1" applyFill="1" applyBorder="1"/>
    <x:xf numFmtId="0" fontId="5" fillId="3" borderId="18" xfId="0" applyNumberFormat="1" applyFont="1" applyFill="1" applyBorder="1"/>
    <x:xf numFmtId="0" fontId="5" fillId="3" borderId="16" xfId="0" applyNumberFormat="1" applyFont="1" applyFill="1" applyBorder="1" applyAlignment="1">
      <x:alignment wrapText="1"/>
    </x:xf>
    <x:xf numFmtId="0" fontId="5" fillId="3" borderId="17" xfId="0" applyNumberFormat="1" applyFont="1" applyFill="1" applyBorder="1" applyAlignment="1">
      <x:alignment wrapText="1"/>
    </x:xf>
    <x:xf numFmtId="0" fontId="5" fillId="3" borderId="18" xfId="0" applyNumberFormat="1" applyFont="1" applyFill="1" applyBorder="1" applyAlignment="1">
      <x:alignment wrapText="1"/>
    </x:xf>
    <x:xf numFmtId="0" fontId="5" fillId="3" borderId="16" xfId="0" applyNumberFormat="1" applyFont="1" applyFill="1" applyBorder="1" applyAlignment="1">
      <x:alignment vertical="top" wrapText="1"/>
    </x:xf>
    <x:xf numFmtId="0" fontId="5" fillId="3" borderId="17" xfId="0" applyNumberFormat="1" applyFont="1" applyFill="1" applyBorder="1" applyAlignment="1">
      <x:alignment vertical="top" wrapText="1"/>
    </x:xf>
    <x:xf numFmtId="0" fontId="5" fillId="3" borderId="18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1" xfId="0" applyNumberFormat="1" applyFont="1" applyFill="1" applyBorder="1" applyAlignment="1">
      <x:alignment vertical="top" wrapText="1"/>
    </x:xf>
    <x:xf numFmtId="202" fontId="4" fillId="0" borderId="6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2F6957"/>
      </x:font>
      <x:fill>
        <x:patternFill patternType="solid">
          <x:bgColor rgb="FFEEF8F3"/>
        </x:patternFill>
      </x:fill>
    </x:dxf>
    <x:dxf>
      <x:font>
        <x:b/>
        <x:color rgb="FFA73535"/>
      </x:font>
      <x:fill>
        <x:patternFill patternType="solid">
          <x:bgColor rgb="FFFDEEEE"/>
        </x:patternFill>
      </x:fill>
    </x:dxf>
    <x:dxf>
      <x:font>
        <x:b/>
        <x:color rgb="FF7A5D19"/>
      </x:font>
      <x:fill>
        <x:patternFill patternType="solid">
          <x:bgColor rgb="FFFFF8E4"/>
        </x:patternFill>
      </x:fill>
    </x:dxf>
    <x:dxf>
      <x:font>
        <x:b/>
        <x:color rgb="FF2F6957"/>
      </x:font>
      <x:fill>
        <x:patternFill patternType="solid">
          <x:bgColor rgb="FFEEF8F3"/>
        </x:patternFill>
      </x:fill>
    </x:dxf>
    <x:dxf>
      <x:font>
        <x:b/>
        <x:color rgb="FFA73535"/>
      </x:font>
      <x:fill>
        <x:patternFill patternType="solid">
          <x:bgColor rgb="FFFDEEEE"/>
        </x:patternFill>
      </x:fill>
    </x:dxf>
    <x:dxf>
      <x:font>
        <x:b/>
        <x:color rgb="FF7A5D19"/>
      </x:font>
      <x:fill>
        <x:patternFill patternType="solid">
          <x:bgColor rgb="FFFFF8E4"/>
        </x:patternFill>
      </x:fill>
    </x:dxf>
    <x:dxf>
      <x:font>
        <x:b/>
        <x:color rgb="FF2F6957"/>
      </x:font>
      <x:fill>
        <x:patternFill patternType="solid">
          <x:bgColor rgb="FFEEF8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b60083cc24b36" /><Relationship Type="http://schemas.openxmlformats.org/officeDocument/2006/relationships/theme" Target="/xl/theme/theme1.xml" Id="Rdb65f3306cab48b4" /><Relationship Type="http://schemas.openxmlformats.org/officeDocument/2006/relationships/sharedStrings" Target="/xl/sharedStrings.xml" Id="R67391af1d7b34dca" /><Relationship Type="http://schemas.openxmlformats.org/officeDocument/2006/relationships/worksheet" Target="/xl/worksheets/sheet1.xml" Id="Ree8d1cdf6be34125" /><Relationship Type="http://schemas.openxmlformats.org/officeDocument/2006/relationships/worksheet" Target="/xl/worksheets/sheet2.xml" Id="R96662893f96a463c" /><Relationship Type="http://schemas.openxmlformats.org/officeDocument/2006/relationships/worksheet" Target="/xl/worksheets/sheet3.xml" Id="R732b43eaddf64178" /><Relationship Type="http://schemas.openxmlformats.org/officeDocument/2006/relationships/worksheet" Target="/xl/worksheets/sheet4.xml" Id="R77d1f8ea1f744e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B87062"/>
  </x:sheetPr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9" hidden="0" customWidth="1"/>
    <x:col min="4" max="4" width="56" hidden="0" customWidth="1"/>
  </x:cols>
  <x:sheetData>
    <x:row r="2">
      <x:c r="A2" s="1" t="str">
        <x:v>B01 候选适配器受控复测</x:v>
      </x:c>
    </x:row>
    <x:row r="3" ht="30" customHeight="1">
      <x:c r="A3" s="3" t="str">
        <x:v>业务结论：当前候选可进入独立盲测；不进入真实样本、不形成消费者或新品结论。</x:v>
      </x:c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30" customHeight="1">
      <x:c r="A5" s="16" t="str">
        <x:v>判断项</x:v>
      </x:c>
      <x:c r="B5" s="17" t="str">
        <x:v>Trial 01 原始基线</x:v>
      </x:c>
      <x:c r="C5" s="17" t="str">
        <x:v>Trial 02 当前受控复测</x:v>
      </x:c>
      <x:c r="D5" s="18" t="str">
        <x:v>业务含义</x:v>
      </x:c>
    </x:row>
    <x:row r="6" ht="38" customHeight="1">
      <x:c r="A6" s="37" t="str">
        <x:v>D01 语义样本数</x:v>
      </x:c>
      <x:c r="B6" s="38" t="str">
        <x:v>24</x:v>
      </x:c>
      <x:c r="C6" s="46" t="n">
        <x:f>COUNTA('D01 受控复测'!A6:A65)</x:f>
        <x:v>60</x:v>
      </x:c>
      <x:c r="D6" s="39" t="str">
        <x:v>评论方面、情感、意见词是否与人工定义的句义一致。</x:v>
      </x:c>
    </x:row>
    <x:row r="7" ht="38" customHeight="1">
      <x:c r="A7" s="40" t="str">
        <x:v>D01 精确匹配</x:v>
      </x:c>
      <x:c r="B7" s="41" t="str">
        <x:v>14/24（58.3%）</x:v>
      </x:c>
      <x:c r="C7" s="47" t="n">
        <x:f>COUNTIFS('D01 受控复测'!J6:J65,"通过")</x:f>
        <x:v>60</x:v>
      </x:c>
      <x:c r="D7" s="42" t="str">
        <x:v>只代表当前合成集内的逐条一致性。</x:v>
      </x:c>
    </x:row>
    <x:row r="8" ht="38" customHeight="1">
      <x:c r="A8" s="40" t="str">
        <x:v>D01 精确匹配率</x:v>
      </x:c>
      <x:c r="B8" s="41" t="str">
        <x:v>58.3%</x:v>
      </x:c>
      <x:c r="C8" s="49" t="n">
        <x:f>C7/C6</x:f>
        <x:v>1</x:v>
      </x:c>
      <x:c r="D8" s="42" t="str">
        <x:v>达到预设 90% 门槛，仍需独立盲测。</x:v>
      </x:c>
    </x:row>
    <x:row r="9" ht="38" customHeight="1">
      <x:c r="A9" s="40" t="str">
        <x:v>D02 语义样本数</x:v>
      </x:c>
      <x:c r="B9" s="41" t="str">
        <x:v>18</x:v>
      </x:c>
      <x:c r="C9" s="47" t="n">
        <x:f>COUNTA('D02 受控复测'!A6:A53)</x:f>
        <x:v>48</x:v>
      </x:c>
      <x:c r="D9" s="42" t="str">
        <x:v>搜索表达的意图与情感是否没有被规则顺序改写。</x:v>
      </x:c>
    </x:row>
    <x:row r="10" ht="38" customHeight="1">
      <x:c r="A10" s="40" t="str">
        <x:v>D02 精确匹配</x:v>
      </x:c>
      <x:c r="B10" s="41" t="str">
        <x:v>15/18（83.3%）</x:v>
      </x:c>
      <x:c r="C10" s="47" t="n">
        <x:f>COUNTIFS('D02 受控复测'!J6:J53,"通过")</x:f>
        <x:v>48</x:v>
      </x:c>
      <x:c r="D10" s="42" t="str">
        <x:v>只代表当前合成集内的逐条一致性。</x:v>
      </x:c>
    </x:row>
    <x:row r="11" ht="38" customHeight="1">
      <x:c r="A11" s="43" t="str">
        <x:v>D02 精确匹配率</x:v>
      </x:c>
      <x:c r="B11" s="44" t="str">
        <x:v>83.3%</x:v>
      </x:c>
      <x:c r="C11" s="50" t="n">
        <x:f>C10/C9</x:f>
        <x:v>1</x:v>
      </x:c>
      <x:c r="D11" s="45" t="str">
        <x:v>达到预设 90% 门槛，仍需独立盲测。</x:v>
      </x:c>
    </x:row>
    <x:row r="13" ht="30" customHeight="1">
      <x:c r="A13" s="16" t="str">
        <x:v>交付契约</x:v>
      </x:c>
      <x:c r="B13" s="17" t="str">
        <x:v>预设门槛</x:v>
      </x:c>
      <x:c r="C13" s="17" t="str">
        <x:v>当前结果</x:v>
      </x:c>
      <x:c r="D13" s="18" t="str">
        <x:v>下一步</x:v>
      </x:c>
    </x:row>
    <x:row r="14" ht="42" customHeight="1">
      <x:c r="A14" s="37" t="str">
        <x:v>逐条回溯</x:v>
      </x:c>
      <x:c r="B14" s="38" t="str">
        <x:v>每个输出回到唯一输入 ID</x:v>
      </x:c>
      <x:c r="C14" s="53" t="n">
        <x:f>COUNTIFS('复测证据'!C6:C10,"通过")</x:f>
        <x:v>5</x:v>
      </x:c>
      <x:c r="D14" s="39" t="str">
        <x:v>候选适配器的输入输出链可以审阅。</x:v>
      </x:c>
    </x:row>
    <x:row r="15" ht="42" customHeight="1">
      <x:c r="A15" s="40" t="str">
        <x:v>语义闸口</x:v>
      </x:c>
      <x:c r="B15" s="41" t="str">
        <x:v>D01/D02 均不低于 90%</x:v>
      </x:c>
      <x:c r="C15" s="56" t="str">
        <x:f>IF(AND(C8&gt;=0.9,C11&gt;=0.9),"通过","未通过")</x:f>
        <x:v>通过</x:v>
      </x:c>
      <x:c r="D15" s="42" t="str">
        <x:v>未通过则不能进入独立盲测。</x:v>
      </x:c>
    </x:row>
    <x:row r="16" ht="42" customHeight="1">
      <x:c r="A16" s="40" t="str">
        <x:v>候选定位</x:v>
      </x:c>
      <x:c r="B16" s="41" t="str">
        <x:v>不改动原始实现</x:v>
      </x:c>
      <x:c r="C16" s="41" t="str">
        <x:v>本地受控 candidate adapter</x:v>
      </x:c>
      <x:c r="D16" s="42" t="str">
        <x:v>原始实现保留为失败基线，不被覆盖。</x:v>
      </x:c>
    </x:row>
    <x:row r="17" ht="42" customHeight="1">
      <x:c r="A17" s="40" t="str">
        <x:v>独立性风险</x:v>
      </x:c>
      <x:c r="B17" s="41" t="str">
        <x:v>实现者与标注者分离</x:v>
      </x:c>
      <x:c r="C17" s="63" t="str">
        <x:v>未满足</x:v>
      </x:c>
      <x:c r="D17" s="42" t="str">
        <x:v>下一轮由未参与本轮的人建立独立盲测集。</x:v>
      </x:c>
    </x:row>
    <x:row r="18" ht="42" customHeight="1">
      <x:c r="A18" s="43" t="str">
        <x:v>真实样本准入</x:v>
      </x:c>
      <x:c r="B18" s="44" t="str">
        <x:v>独立盲测与数据合同都完成</x:v>
      </x:c>
      <x:c r="C18" s="64" t="str">
        <x:v>未满足</x:v>
      </x:c>
      <x:c r="D18" s="45" t="str">
        <x:v>当前不接入真实评论、搜索或任何经营数据。</x:v>
      </x:c>
    </x:row>
    <x:row r="20" ht="52" customHeight="1">
      <x:c r="A20" s="73" t="str">
        <x:v>本轮决定</x:v>
      </x:c>
      <x:c r="B20" s="74" t="str">
        <x:f>IF(AND(C8&gt;=0.9,C11&gt;=0.9,C14=5,C15="通过"),"可进入独立盲测（不进入真实样本）","留在候选修复，不进入独立盲测")</x:f>
        <x:v>可进入独立盲测（不进入真实样本）</x:v>
      </x:c>
      <x:c r="C20" s="74" t="str">
        <x:v>原因</x:v>
      </x:c>
      <x:c r="D20" s="75" t="str">
        <x:v>候选适配器在同一设计者人工标注的合成集上达到了语义门槛；仍存在同源设计与实现的过拟合风险。</x:v>
      </x:c>
    </x:row>
    <x:row r="22" ht="48" customHeight="1">
      <x:c r="A22" s="84" t="str">
        <x:v>明确不作出的结论</x:v>
      </x:c>
      <x:c r="B22" s="85" t="str">
        <x:v>不代表真实消费者偏好、市场规模、品牌、品类问题或需求优先级。 不构成产品定义、功能改版、投入优先级、投放、采购、发布、岗位任命或业务授权。 不证明候选适配器在独立盲测、真实语言、真实数据质量或生产运行中可靠。</x:v>
      </x:c>
      <x:c r="C22" s="85" t="str"/>
      <x:c r="D22" s="8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95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8" hidden="0" customWidth="1"/>
    <x:col min="3" max="3" width="13" hidden="0" customWidth="1"/>
    <x:col min="4" max="4" width="54" hidden="0" customWidth="1"/>
    <x:col min="5" max="5" width="29" hidden="0" customWidth="1"/>
    <x:col min="6" max="6" width="29" hidden="0" customWidth="1"/>
    <x:col min="7" max="7" width="18" hidden="0" customWidth="1"/>
    <x:col min="8" max="8" width="18" hidden="0" customWidth="1"/>
    <x:col min="9" max="9" width="18" hidden="0" customWidth="1"/>
    <x:col min="10" max="10" width="12" hidden="0" customWidth="1"/>
  </x:cols>
  <x:sheetData>
    <x:row r="2">
      <x:c r="A2" s="1" t="str">
        <x:v>D01 评论中的需求证据拆解</x:v>
      </x:c>
    </x:row>
    <x:row r="3" ht="30" customHeight="1">
      <x:c r="A3" s="3" t="str">
        <x:v>人工标注的合成评论；局部方面窗口、局部否定与未映射主题的逐条复核。未映射不是漏填，而是保留能力边界。</x:v>
      </x:c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32" customHeight="1">
      <x:c r="A5" s="16" t="str">
        <x:v>评论 ID</x:v>
      </x:c>
      <x:c r="B5" s="17" t="str">
        <x:v>评分</x:v>
      </x:c>
      <x:c r="C5" s="17" t="str">
        <x:v>日期</x:v>
      </x:c>
      <x:c r="D5" s="17" t="str">
        <x:v>合成评论</x:v>
      </x:c>
      <x:c r="E5" s="17" t="str">
        <x:v>预期方面 / 情感</x:v>
      </x:c>
      <x:c r="F5" s="17" t="str">
        <x:v>实际方面 / 情感</x:v>
      </x:c>
      <x:c r="G5" s="17" t="str">
        <x:v>缺失</x:v>
      </x:c>
      <x:c r="H5" s="17" t="str">
        <x:v>多余</x:v>
      </x:c>
      <x:c r="I5" s="17" t="str">
        <x:v>映射状态</x:v>
      </x:c>
      <x:c r="J5" s="18" t="str">
        <x:v>语义复核</x:v>
      </x:c>
    </x:row>
    <x:row r="6" ht="47" customHeight="1">
      <x:c r="A6" s="37" t="str">
        <x:v>R001</x:v>
      </x:c>
      <x:c r="B6" s="38" t="n">
        <x:v>2</x:v>
      </x:c>
      <x:c r="C6" s="38" t="str">
        <x:v>2026-07-03</x:v>
      </x:c>
      <x:c r="D6" s="38" t="str">
        <x:v>The noise is loud enough that I would not use it beside a sleeping baby.</x:v>
      </x:c>
      <x:c r="E6" s="38" t="str">
        <x:v>噪音 / negative</x:v>
      </x:c>
      <x:c r="F6" s="38" t="str">
        <x:v>噪音 / negative</x:v>
      </x:c>
      <x:c r="G6" s="38" t="str">
        <x:v>未映射</x:v>
      </x:c>
      <x:c r="H6" s="38" t="str">
        <x:v>未映射</x:v>
      </x:c>
      <x:c r="I6" s="38" t="str">
        <x:v>已映射</x:v>
      </x:c>
      <x:c r="J6" s="39" t="str">
        <x:v>通过</x:v>
      </x:c>
    </x:row>
    <x:row r="7" ht="47" customHeight="1">
      <x:c r="A7" s="40" t="str">
        <x:v>R002</x:v>
      </x:c>
      <x:c r="B7" s="41" t="n">
        <x:v>5</x:v>
      </x:c>
      <x:c r="C7" s="41" t="str">
        <x:v>2026-07-05</x:v>
      </x:c>
      <x:c r="D7" s="41" t="str">
        <x:v>It is quiet and discreet enough for a shared office. I love the compact size.</x:v>
      </x:c>
      <x:c r="E7" s="41" t="str">
        <x:v>噪音 / positive；尺寸重量 / positive</x:v>
      </x:c>
      <x:c r="F7" s="41" t="str">
        <x:v>噪音 / positive；尺寸重量 / positive</x:v>
      </x:c>
      <x:c r="G7" s="41" t="str">
        <x:v>未映射</x:v>
      </x:c>
      <x:c r="H7" s="41" t="str">
        <x:v>未映射</x:v>
      </x:c>
      <x:c r="I7" s="41" t="str">
        <x:v>已映射</x:v>
      </x:c>
      <x:c r="J7" s="42" t="str">
        <x:v>通过</x:v>
      </x:c>
    </x:row>
    <x:row r="8" ht="47" customHeight="1">
      <x:c r="A8" s="40" t="str">
        <x:v>R003</x:v>
      </x:c>
      <x:c r="B8" s="41" t="n">
        <x:v>2</x:v>
      </x:c>
      <x:c r="C8" s="41" t="str">
        <x:v>2026-07-07</x:v>
      </x:c>
      <x:c r="D8" s="41" t="str">
        <x:v>The suction feels weak after fifteen minutes, although the battery is good.</x:v>
      </x:c>
      <x:c r="E8" s="41" t="str">
        <x:v>充电 / positive；吸力 / negative</x:v>
      </x:c>
      <x:c r="F8" s="41" t="str">
        <x:v>充电 / positive；吸力 / negative</x:v>
      </x:c>
      <x:c r="G8" s="41" t="str">
        <x:v>未映射</x:v>
      </x:c>
      <x:c r="H8" s="41" t="str">
        <x:v>未映射</x:v>
      </x:c>
      <x:c r="I8" s="41" t="str">
        <x:v>已映射</x:v>
      </x:c>
      <x:c r="J8" s="42" t="str">
        <x:v>通过</x:v>
      </x:c>
    </x:row>
    <x:row r="9" ht="47" customHeight="1">
      <x:c r="A9" s="40" t="str">
        <x:v>R004</x:v>
      </x:c>
      <x:c r="B9" s="41" t="n">
        <x:v>5</x:v>
      </x:c>
      <x:c r="C9" s="41" t="str">
        <x:v>2026-07-09</x:v>
      </x:c>
      <x:c r="D9" s="41" t="str">
        <x:v>Strong suction helped me finish quickly and the charging cable is easy to use.</x:v>
      </x:c>
      <x:c r="E9" s="41" t="str">
        <x:v>充电 / positive；吸力 / positive</x:v>
      </x:c>
      <x:c r="F9" s="41" t="str">
        <x:v>充电 / positive；吸力 / positive</x:v>
      </x:c>
      <x:c r="G9" s="41" t="str">
        <x:v>未映射</x:v>
      </x:c>
      <x:c r="H9" s="41" t="str">
        <x:v>未映射</x:v>
      </x:c>
      <x:c r="I9" s="41" t="str">
        <x:v>已映射</x:v>
      </x:c>
      <x:c r="J9" s="42" t="str">
        <x:v>通过</x:v>
      </x:c>
    </x:row>
    <x:row r="10" ht="47" customHeight="1">
      <x:c r="A10" s="40" t="str">
        <x:v>R005</x:v>
      </x:c>
      <x:c r="B10" s="41" t="n">
        <x:v>2</x:v>
      </x:c>
      <x:c r="C10" s="41" t="str">
        <x:v>2026-07-11</x:v>
      </x:c>
      <x:c r="D10" s="41" t="str">
        <x:v>The flange fit was uncomfortable and painful by the end of the session.</x:v>
      </x:c>
      <x:c r="E10" s="41" t="str">
        <x:v>舒适度 / negative</x:v>
      </x:c>
      <x:c r="F10" s="41" t="str">
        <x:v>舒适度 / negative</x:v>
      </x:c>
      <x:c r="G10" s="41" t="str">
        <x:v>未映射</x:v>
      </x:c>
      <x:c r="H10" s="41" t="str">
        <x:v>未映射</x:v>
      </x:c>
      <x:c r="I10" s="41" t="str">
        <x:v>已映射</x:v>
      </x:c>
      <x:c r="J10" s="42" t="str">
        <x:v>通过</x:v>
      </x:c>
    </x:row>
    <x:row r="11" ht="47" customHeight="1">
      <x:c r="A11" s="40" t="str">
        <x:v>R006</x:v>
      </x:c>
      <x:c r="B11" s="41" t="n">
        <x:v>5</x:v>
      </x:c>
      <x:c r="C11" s="41" t="str">
        <x:v>2026-07-13</x:v>
      </x:c>
      <x:c r="D11" s="41" t="str">
        <x:v>The flange fit is comfortable and the small pump is portable for travel.</x:v>
      </x:c>
      <x:c r="E11" s="41" t="str">
        <x:v>尺寸重量 / positive；舒适度 / positive</x:v>
      </x:c>
      <x:c r="F11" s="41" t="str">
        <x:v>尺寸重量 / positive；舒适度 / positive</x:v>
      </x:c>
      <x:c r="G11" s="41" t="str">
        <x:v>未映射</x:v>
      </x:c>
      <x:c r="H11" s="41" t="str">
        <x:v>未映射</x:v>
      </x:c>
      <x:c r="I11" s="41" t="str">
        <x:v>已映射</x:v>
      </x:c>
      <x:c r="J11" s="42" t="str">
        <x:v>通过</x:v>
      </x:c>
    </x:row>
    <x:row r="12" ht="47" customHeight="1">
      <x:c r="A12" s="40" t="str">
        <x:v>R007</x:v>
      </x:c>
      <x:c r="B12" s="41" t="n">
        <x:v>2</x:v>
      </x:c>
      <x:c r="C12" s="41" t="str">
        <x:v>2026-07-15</x:v>
      </x:c>
      <x:c r="D12" s="41" t="str">
        <x:v>Battery life is poor and charging is slow during a busy workday.</x:v>
      </x:c>
      <x:c r="E12" s="41" t="str">
        <x:v>充电 / negative</x:v>
      </x:c>
      <x:c r="F12" s="41" t="str">
        <x:v>充电 / negative</x:v>
      </x:c>
      <x:c r="G12" s="41" t="str">
        <x:v>未映射</x:v>
      </x:c>
      <x:c r="H12" s="41" t="str">
        <x:v>未映射</x:v>
      </x:c>
      <x:c r="I12" s="41" t="str">
        <x:v>已映射</x:v>
      </x:c>
      <x:c r="J12" s="42" t="str">
        <x:v>通过</x:v>
      </x:c>
    </x:row>
    <x:row r="13" ht="47" customHeight="1">
      <x:c r="A13" s="40" t="str">
        <x:v>R008</x:v>
      </x:c>
      <x:c r="B13" s="41" t="n">
        <x:v>5</x:v>
      </x:c>
      <x:c r="C13" s="41" t="str">
        <x:v>2026-07-17</x:v>
      </x:c>
      <x:c r="D13" s="41" t="str">
        <x:v>Battery life is great. It lasts a full workday and charging is fast.</x:v>
      </x:c>
      <x:c r="E13" s="41" t="str">
        <x:v>充电 / positive</x:v>
      </x:c>
      <x:c r="F13" s="41" t="str">
        <x:v>充电 / positive</x:v>
      </x:c>
      <x:c r="G13" s="41" t="str">
        <x:v>未映射</x:v>
      </x:c>
      <x:c r="H13" s="41" t="str">
        <x:v>未映射</x:v>
      </x:c>
      <x:c r="I13" s="41" t="str">
        <x:v>已映射</x:v>
      </x:c>
      <x:c r="J13" s="42" t="str">
        <x:v>通过</x:v>
      </x:c>
    </x:row>
    <x:row r="14" ht="47" customHeight="1">
      <x:c r="A14" s="40" t="str">
        <x:v>R009</x:v>
      </x:c>
      <x:c r="B14" s="41" t="n">
        <x:v>2</x:v>
      </x:c>
      <x:c r="C14" s="41" t="str">
        <x:v>2026-07-19</x:v>
      </x:c>
      <x:c r="D14" s="41" t="str">
        <x:v>Setup was complicated and the instructions made assembly difficult.</x:v>
      </x:c>
      <x:c r="E14" s="41" t="str">
        <x:v>易用性 / negative</x:v>
      </x:c>
      <x:c r="F14" s="41" t="str">
        <x:v>易用性 / negative</x:v>
      </x:c>
      <x:c r="G14" s="41" t="str">
        <x:v>未映射</x:v>
      </x:c>
      <x:c r="H14" s="41" t="str">
        <x:v>未映射</x:v>
      </x:c>
      <x:c r="I14" s="41" t="str">
        <x:v>已映射</x:v>
      </x:c>
      <x:c r="J14" s="42" t="str">
        <x:v>通过</x:v>
      </x:c>
    </x:row>
    <x:row r="15" ht="47" customHeight="1">
      <x:c r="A15" s="40" t="str">
        <x:v>R010</x:v>
      </x:c>
      <x:c r="B15" s="41" t="n">
        <x:v>5</x:v>
      </x:c>
      <x:c r="C15" s="41" t="str">
        <x:v>2026-07-21</x:v>
      </x:c>
      <x:c r="D15" s="41" t="str">
        <x:v>The setup is easy and simple even when I am tired.</x:v>
      </x:c>
      <x:c r="E15" s="41" t="str">
        <x:v>易用性 / positive</x:v>
      </x:c>
      <x:c r="F15" s="41" t="str">
        <x:v>易用性 / positive</x:v>
      </x:c>
      <x:c r="G15" s="41" t="str">
        <x:v>未映射</x:v>
      </x:c>
      <x:c r="H15" s="41" t="str">
        <x:v>未映射</x:v>
      </x:c>
      <x:c r="I15" s="41" t="str">
        <x:v>已映射</x:v>
      </x:c>
      <x:c r="J15" s="42" t="str">
        <x:v>通过</x:v>
      </x:c>
    </x:row>
    <x:row r="16" ht="47" customHeight="1">
      <x:c r="A16" s="40" t="str">
        <x:v>R011</x:v>
      </x:c>
      <x:c r="B16" s="41" t="n">
        <x:v>2</x:v>
      </x:c>
      <x:c r="C16" s="41" t="str">
        <x:v>2026-07-23</x:v>
      </x:c>
      <x:c r="D16" s="41" t="str">
        <x:v>The price feels expensive for something that still makes a loud sound.</x:v>
      </x:c>
      <x:c r="E16" s="41" t="str">
        <x:v>价格 / negative；噪音 / negative</x:v>
      </x:c>
      <x:c r="F16" s="41" t="str">
        <x:v>价格 / negative；噪音 / negative</x:v>
      </x:c>
      <x:c r="G16" s="41" t="str">
        <x:v>未映射</x:v>
      </x:c>
      <x:c r="H16" s="41" t="str">
        <x:v>未映射</x:v>
      </x:c>
      <x:c r="I16" s="41" t="str">
        <x:v>已映射</x:v>
      </x:c>
      <x:c r="J16" s="42" t="str">
        <x:v>通过</x:v>
      </x:c>
    </x:row>
    <x:row r="17" ht="47" customHeight="1">
      <x:c r="A17" s="40" t="str">
        <x:v>R012</x:v>
      </x:c>
      <x:c r="B17" s="41" t="n">
        <x:v>5</x:v>
      </x:c>
      <x:c r="C17" s="41" t="str">
        <x:v>2026-07-25</x:v>
      </x:c>
      <x:c r="D17" s="41" t="str">
        <x:v>It is worth the price because it is quiet and easy to use.</x:v>
      </x:c>
      <x:c r="E17" s="41" t="str">
        <x:v>价格 / positive；噪音 / positive；易用性 / positive</x:v>
      </x:c>
      <x:c r="F17" s="41" t="str">
        <x:v>价格 / positive；噪音 / positive；易用性 / positive</x:v>
      </x:c>
      <x:c r="G17" s="41" t="str">
        <x:v>未映射</x:v>
      </x:c>
      <x:c r="H17" s="41" t="str">
        <x:v>未映射</x:v>
      </x:c>
      <x:c r="I17" s="41" t="str">
        <x:v>已映射</x:v>
      </x:c>
      <x:c r="J17" s="42" t="str">
        <x:v>通过</x:v>
      </x:c>
    </x:row>
    <x:row r="18" ht="47" customHeight="1">
      <x:c r="A18" s="40" t="str">
        <x:v>R013</x:v>
      </x:c>
      <x:c r="B18" s="41" t="n">
        <x:v>2</x:v>
      </x:c>
      <x:c r="C18" s="41" t="str">
        <x:v>2026-07-27</x:v>
      </x:c>
      <x:c r="D18" s="41" t="str">
        <x:v>Customer service was slow to respond when I asked for help.</x:v>
      </x:c>
      <x:c r="E18" s="41" t="str">
        <x:v>客服 / negative</x:v>
      </x:c>
      <x:c r="F18" s="41" t="str">
        <x:v>客服 / negative</x:v>
      </x:c>
      <x:c r="G18" s="41" t="str">
        <x:v>未映射</x:v>
      </x:c>
      <x:c r="H18" s="41" t="str">
        <x:v>未映射</x:v>
      </x:c>
      <x:c r="I18" s="41" t="str">
        <x:v>已映射</x:v>
      </x:c>
      <x:c r="J18" s="42" t="str">
        <x:v>通过</x:v>
      </x:c>
    </x:row>
    <x:row r="19" ht="47" customHeight="1">
      <x:c r="A19" s="40" t="str">
        <x:v>R014</x:v>
      </x:c>
      <x:c r="B19" s="41" t="n">
        <x:v>5</x:v>
      </x:c>
      <x:c r="C19" s="41" t="str">
        <x:v>2026-07-29</x:v>
      </x:c>
      <x:c r="D19" s="41" t="str">
        <x:v>Customer support was fast and helpful when I needed a replacement part.</x:v>
      </x:c>
      <x:c r="E19" s="41" t="str">
        <x:v>客服 / positive</x:v>
      </x:c>
      <x:c r="F19" s="41" t="str">
        <x:v>客服 / positive</x:v>
      </x:c>
      <x:c r="G19" s="41" t="str">
        <x:v>未映射</x:v>
      </x:c>
      <x:c r="H19" s="41" t="str">
        <x:v>未映射</x:v>
      </x:c>
      <x:c r="I19" s="41" t="str">
        <x:v>已映射</x:v>
      </x:c>
      <x:c r="J19" s="42" t="str">
        <x:v>通过</x:v>
      </x:c>
    </x:row>
    <x:row r="20" ht="47" customHeight="1">
      <x:c r="A20" s="40" t="str">
        <x:v>R015</x:v>
      </x:c>
      <x:c r="B20" s="41" t="n">
        <x:v>2</x:v>
      </x:c>
      <x:c r="C20" s="41" t="str">
        <x:v>2026-07-31</x:v>
      </x:c>
      <x:c r="D20" s="41" t="str">
        <x:v>The package arrived late and delivery updates were poor.</x:v>
      </x:c>
      <x:c r="E20" s="41" t="str">
        <x:v>物流 / negative</x:v>
      </x:c>
      <x:c r="F20" s="41" t="str">
        <x:v>物流 / negative</x:v>
      </x:c>
      <x:c r="G20" s="41" t="str">
        <x:v>未映射</x:v>
      </x:c>
      <x:c r="H20" s="41" t="str">
        <x:v>未映射</x:v>
      </x:c>
      <x:c r="I20" s="41" t="str">
        <x:v>已映射</x:v>
      </x:c>
      <x:c r="J20" s="42" t="str">
        <x:v>通过</x:v>
      </x:c>
    </x:row>
    <x:row r="21" ht="47" customHeight="1">
      <x:c r="A21" s="40" t="str">
        <x:v>R016</x:v>
      </x:c>
      <x:c r="B21" s="41" t="n">
        <x:v>5</x:v>
      </x:c>
      <x:c r="C21" s="41" t="str">
        <x:v>2026-08-02</x:v>
      </x:c>
      <x:c r="D21" s="41" t="str">
        <x:v>Shipping was fast and the package arrived in good condition.</x:v>
      </x:c>
      <x:c r="E21" s="41" t="str">
        <x:v>物流 / positive</x:v>
      </x:c>
      <x:c r="F21" s="41" t="str">
        <x:v>物流 / positive</x:v>
      </x:c>
      <x:c r="G21" s="41" t="str">
        <x:v>未映射</x:v>
      </x:c>
      <x:c r="H21" s="41" t="str">
        <x:v>未映射</x:v>
      </x:c>
      <x:c r="I21" s="41" t="str">
        <x:v>已映射</x:v>
      </x:c>
      <x:c r="J21" s="42" t="str">
        <x:v>通过</x:v>
      </x:c>
    </x:row>
    <x:row r="22" ht="47" customHeight="1">
      <x:c r="A22" s="40" t="str">
        <x:v>R017</x:v>
      </x:c>
      <x:c r="B22" s="41" t="n">
        <x:v>2</x:v>
      </x:c>
      <x:c r="C22" s="41" t="str">
        <x:v>2026-08-04</x:v>
      </x:c>
      <x:c r="D22" s="41" t="str">
        <x:v>Milk leaked from the cup after I bent down to pick up a toy.</x:v>
      </x:c>
      <x:c r="E22" s="41" t="str">
        <x:v>未映射</x:v>
      </x:c>
      <x:c r="F22" s="41" t="str">
        <x:v>未映射</x:v>
      </x:c>
      <x:c r="G22" s="41" t="str">
        <x:v>未映射</x:v>
      </x:c>
      <x:c r="H22" s="41" t="str">
        <x:v>未映射</x:v>
      </x:c>
      <x:c r="I22" s="41" t="str">
        <x:v>未映射，保留未知</x:v>
      </x:c>
      <x:c r="J22" s="42" t="str">
        <x:v>通过</x:v>
      </x:c>
    </x:row>
    <x:row r="23" ht="47" customHeight="1">
      <x:c r="A23" s="40" t="str">
        <x:v>R018</x:v>
      </x:c>
      <x:c r="B23" s="41" t="n">
        <x:v>2</x:v>
      </x:c>
      <x:c r="C23" s="41" t="str">
        <x:v>2026-08-06</x:v>
      </x:c>
      <x:c r="D23" s="41" t="str">
        <x:v>One sudden movement caused a spill, and I had to change my shirt.</x:v>
      </x:c>
      <x:c r="E23" s="41" t="str">
        <x:v>未映射</x:v>
      </x:c>
      <x:c r="F23" s="41" t="str">
        <x:v>未映射</x:v>
      </x:c>
      <x:c r="G23" s="41" t="str">
        <x:v>未映射</x:v>
      </x:c>
      <x:c r="H23" s="41" t="str">
        <x:v>未映射</x:v>
      </x:c>
      <x:c r="I23" s="41" t="str">
        <x:v>未映射，保留未知</x:v>
      </x:c>
      <x:c r="J23" s="42" t="str">
        <x:v>通过</x:v>
      </x:c>
    </x:row>
    <x:row r="24" ht="47" customHeight="1">
      <x:c r="A24" s="40" t="str">
        <x:v>R019</x:v>
      </x:c>
      <x:c r="B24" s="41" t="n">
        <x:v>3</x:v>
      </x:c>
      <x:c r="C24" s="41" t="str">
        <x:v>2026-08-08</x:v>
      </x:c>
      <x:c r="D24" s="41" t="str">
        <x:v>It is quiet but the suction is weak, so my experience is mixed.</x:v>
      </x:c>
      <x:c r="E24" s="41" t="str">
        <x:v>吸力 / negative；噪音 / positive</x:v>
      </x:c>
      <x:c r="F24" s="41" t="str">
        <x:v>吸力 / negative；噪音 / positive</x:v>
      </x:c>
      <x:c r="G24" s="41" t="str">
        <x:v>未映射</x:v>
      </x:c>
      <x:c r="H24" s="41" t="str">
        <x:v>未映射</x:v>
      </x:c>
      <x:c r="I24" s="41" t="str">
        <x:v>已映射</x:v>
      </x:c>
      <x:c r="J24" s="42" t="str">
        <x:v>通过</x:v>
      </x:c>
    </x:row>
    <x:row r="25" ht="47" customHeight="1">
      <x:c r="A25" s="40" t="str">
        <x:v>R020</x:v>
      </x:c>
      <x:c r="B25" s="41" t="n">
        <x:v>4</x:v>
      </x:c>
      <x:c r="C25" s="41" t="str">
        <x:v>2026-08-10</x:v>
      </x:c>
      <x:c r="D25" s="41" t="str">
        <x:v>The compact size is great, but the flange fit is not comfortable for a long session.</x:v>
      </x:c>
      <x:c r="E25" s="41" t="str">
        <x:v>尺寸重量 / positive；舒适度 / negative</x:v>
      </x:c>
      <x:c r="F25" s="41" t="str">
        <x:v>尺寸重量 / positive；舒适度 / negative</x:v>
      </x:c>
      <x:c r="G25" s="41" t="str">
        <x:v>未映射</x:v>
      </x:c>
      <x:c r="H25" s="41" t="str">
        <x:v>未映射</x:v>
      </x:c>
      <x:c r="I25" s="41" t="str">
        <x:v>已映射</x:v>
      </x:c>
      <x:c r="J25" s="42" t="str">
        <x:v>通过</x:v>
      </x:c>
    </x:row>
    <x:row r="26" ht="47" customHeight="1">
      <x:c r="A26" s="40" t="str">
        <x:v>R021</x:v>
      </x:c>
      <x:c r="B26" s="41" t="n">
        <x:v>3</x:v>
      </x:c>
      <x:c r="C26" s="41" t="str">
        <x:v>2026-08-12</x:v>
      </x:c>
      <x:c r="D26" s="41" t="str">
        <x:v>The pump works for me, but I need a clearer way to track each session.</x:v>
      </x:c>
      <x:c r="E26" s="41" t="str">
        <x:v>未映射</x:v>
      </x:c>
      <x:c r="F26" s="41" t="str">
        <x:v>未映射</x:v>
      </x:c>
      <x:c r="G26" s="41" t="str">
        <x:v>未映射</x:v>
      </x:c>
      <x:c r="H26" s="41" t="str">
        <x:v>未映射</x:v>
      </x:c>
      <x:c r="I26" s="41" t="str">
        <x:v>未映射，保留未知</x:v>
      </x:c>
      <x:c r="J26" s="42" t="str">
        <x:v>通过</x:v>
      </x:c>
    </x:row>
    <x:row r="27" ht="47" customHeight="1">
      <x:c r="A27" s="40" t="str">
        <x:v>R022</x:v>
      </x:c>
      <x:c r="B27" s="41" t="n">
        <x:v>4</x:v>
      </x:c>
      <x:c r="C27" s="41" t="str">
        <x:v>2026-08-14</x:v>
      </x:c>
      <x:c r="D27" s="41" t="str">
        <x:v>I want an app that marks the session as complete.</x:v>
      </x:c>
      <x:c r="E27" s="41" t="str">
        <x:v>未映射</x:v>
      </x:c>
      <x:c r="F27" s="41" t="str">
        <x:v>未映射</x:v>
      </x:c>
      <x:c r="G27" s="41" t="str">
        <x:v>未映射</x:v>
      </x:c>
      <x:c r="H27" s="41" t="str">
        <x:v>未映射</x:v>
      </x:c>
      <x:c r="I27" s="41" t="str">
        <x:v>未映射，保留未知</x:v>
      </x:c>
      <x:c r="J27" s="42" t="str">
        <x:v>通过</x:v>
      </x:c>
    </x:row>
    <x:row r="28" ht="47" customHeight="1">
      <x:c r="A28" s="40" t="str">
        <x:v>R023</x:v>
      </x:c>
      <x:c r="B28" s="41" t="n">
        <x:v>1</x:v>
      </x:c>
      <x:c r="C28" s="41" t="str">
        <x:v>2026-08-16</x:v>
      </x:c>
      <x:c r="D28" s="41" t="str">
        <x:v>The sound is noisy and the suction power is weak. I regret the purchase.</x:v>
      </x:c>
      <x:c r="E28" s="41" t="str">
        <x:v>吸力 / negative；噪音 / negative</x:v>
      </x:c>
      <x:c r="F28" s="41" t="str">
        <x:v>吸力 / negative；噪音 / negative</x:v>
      </x:c>
      <x:c r="G28" s="41" t="str">
        <x:v>未映射</x:v>
      </x:c>
      <x:c r="H28" s="41" t="str">
        <x:v>未映射</x:v>
      </x:c>
      <x:c r="I28" s="41" t="str">
        <x:v>已映射</x:v>
      </x:c>
      <x:c r="J28" s="42" t="str">
        <x:v>通过</x:v>
      </x:c>
    </x:row>
    <x:row r="29" ht="47" customHeight="1">
      <x:c r="A29" s="40" t="str">
        <x:v>R024</x:v>
      </x:c>
      <x:c r="B29" s="41" t="n">
        <x:v>5</x:v>
      </x:c>
      <x:c r="C29" s="41" t="str">
        <x:v>2026-08-18</x:v>
      </x:c>
      <x:c r="D29" s="41" t="str">
        <x:v>Quiet, powerful, comfortable and easy. This made commuting much easier.</x:v>
      </x:c>
      <x:c r="E29" s="41" t="str">
        <x:v>吸力 / positive；噪音 / positive；易用性 / positive；舒适度 / positive</x:v>
      </x:c>
      <x:c r="F29" s="41" t="str">
        <x:v>吸力 / positive；噪音 / positive；易用性 / positive；舒适度 / positive</x:v>
      </x:c>
      <x:c r="G29" s="41" t="str">
        <x:v>未映射</x:v>
      </x:c>
      <x:c r="H29" s="41" t="str">
        <x:v>未映射</x:v>
      </x:c>
      <x:c r="I29" s="41" t="str">
        <x:v>已映射</x:v>
      </x:c>
      <x:c r="J29" s="42" t="str">
        <x:v>通过</x:v>
      </x:c>
    </x:row>
    <x:row r="30" ht="47" customHeight="1">
      <x:c r="A30" s="40" t="str">
        <x:v>R025</x:v>
      </x:c>
      <x:c r="B30" s="41" t="n">
        <x:v>5</x:v>
      </x:c>
      <x:c r="C30" s="41" t="str">
        <x:v>2026-08-20</x:v>
      </x:c>
      <x:c r="D30" s="41" t="str">
        <x:v>The pump is not loud, and the suction is strong.</x:v>
      </x:c>
      <x:c r="E30" s="41" t="str">
        <x:v>吸力 / positive；噪音 / positive</x:v>
      </x:c>
      <x:c r="F30" s="41" t="str">
        <x:v>吸力 / positive；噪音 / positive</x:v>
      </x:c>
      <x:c r="G30" s="41" t="str">
        <x:v>未映射</x:v>
      </x:c>
      <x:c r="H30" s="41" t="str">
        <x:v>未映射</x:v>
      </x:c>
      <x:c r="I30" s="41" t="str">
        <x:v>已映射</x:v>
      </x:c>
      <x:c r="J30" s="42" t="str">
        <x:v>通过</x:v>
      </x:c>
    </x:row>
    <x:row r="31" ht="47" customHeight="1">
      <x:c r="A31" s="40" t="str">
        <x:v>R026</x:v>
      </x:c>
      <x:c r="B31" s="41" t="n">
        <x:v>2</x:v>
      </x:c>
      <x:c r="C31" s="41" t="str">
        <x:v>2026-08-22</x:v>
      </x:c>
      <x:c r="D31" s="41" t="str">
        <x:v>The pump is not quiet; the noise is loud during calls.</x:v>
      </x:c>
      <x:c r="E31" s="41" t="str">
        <x:v>噪音 / negative</x:v>
      </x:c>
      <x:c r="F31" s="41" t="str">
        <x:v>噪音 / negative</x:v>
      </x:c>
      <x:c r="G31" s="41" t="str">
        <x:v>未映射</x:v>
      </x:c>
      <x:c r="H31" s="41" t="str">
        <x:v>未映射</x:v>
      </x:c>
      <x:c r="I31" s="41" t="str">
        <x:v>已映射</x:v>
      </x:c>
      <x:c r="J31" s="42" t="str">
        <x:v>通过</x:v>
      </x:c>
    </x:row>
    <x:row r="32" ht="47" customHeight="1">
      <x:c r="A32" s="40" t="str">
        <x:v>R027</x:v>
      </x:c>
      <x:c r="B32" s="41" t="n">
        <x:v>5</x:v>
      </x:c>
      <x:c r="C32" s="41" t="str">
        <x:v>2026-08-24</x:v>
      </x:c>
      <x:c r="D32" s="41" t="str">
        <x:v>Charging is not slow at all, and the battery lasts long.</x:v>
      </x:c>
      <x:c r="E32" s="41" t="str">
        <x:v>充电 / positive</x:v>
      </x:c>
      <x:c r="F32" s="41" t="str">
        <x:v>充电 / positive</x:v>
      </x:c>
      <x:c r="G32" s="41" t="str">
        <x:v>未映射</x:v>
      </x:c>
      <x:c r="H32" s="41" t="str">
        <x:v>未映射</x:v>
      </x:c>
      <x:c r="I32" s="41" t="str">
        <x:v>已映射</x:v>
      </x:c>
      <x:c r="J32" s="42" t="str">
        <x:v>通过</x:v>
      </x:c>
    </x:row>
    <x:row r="33" ht="47" customHeight="1">
      <x:c r="A33" s="40" t="str">
        <x:v>R028</x:v>
      </x:c>
      <x:c r="B33" s="41" t="n">
        <x:v>2</x:v>
      </x:c>
      <x:c r="C33" s="41" t="str">
        <x:v>2026-08-26</x:v>
      </x:c>
      <x:c r="D33" s="41" t="str">
        <x:v>The battery drains before lunch, even when I charge it overnight.</x:v>
      </x:c>
      <x:c r="E33" s="41" t="str">
        <x:v>充电 / negative</x:v>
      </x:c>
      <x:c r="F33" s="41" t="str">
        <x:v>充电 / negative</x:v>
      </x:c>
      <x:c r="G33" s="41" t="str">
        <x:v>未映射</x:v>
      </x:c>
      <x:c r="H33" s="41" t="str">
        <x:v>未映射</x:v>
      </x:c>
      <x:c r="I33" s="41" t="str">
        <x:v>已映射</x:v>
      </x:c>
      <x:c r="J33" s="42" t="str">
        <x:v>通过</x:v>
      </x:c>
    </x:row>
    <x:row r="34" ht="47" customHeight="1">
      <x:c r="A34" s="40" t="str">
        <x:v>R029</x:v>
      </x:c>
      <x:c r="B34" s="41" t="n">
        <x:v>5</x:v>
      </x:c>
      <x:c r="C34" s="41" t="str">
        <x:v>2026-08-28</x:v>
      </x:c>
      <x:c r="D34" s="41" t="str">
        <x:v>The battery lasts long and charging is fast.</x:v>
      </x:c>
      <x:c r="E34" s="41" t="str">
        <x:v>充电 / positive</x:v>
      </x:c>
      <x:c r="F34" s="41" t="str">
        <x:v>充电 / positive</x:v>
      </x:c>
      <x:c r="G34" s="41" t="str">
        <x:v>未映射</x:v>
      </x:c>
      <x:c r="H34" s="41" t="str">
        <x:v>未映射</x:v>
      </x:c>
      <x:c r="I34" s="41" t="str">
        <x:v>已映射</x:v>
      </x:c>
      <x:c r="J34" s="42" t="str">
        <x:v>通过</x:v>
      </x:c>
    </x:row>
    <x:row r="35" ht="47" customHeight="1">
      <x:c r="A35" s="40" t="str">
        <x:v>R030</x:v>
      </x:c>
      <x:c r="B35" s="41" t="n">
        <x:v>2</x:v>
      </x:c>
      <x:c r="C35" s="41" t="str">
        <x:v>2026-08-30</x:v>
      </x:c>
      <x:c r="D35" s="41" t="str">
        <x:v>It feels heavy and bulky in a work bag.</x:v>
      </x:c>
      <x:c r="E35" s="41" t="str">
        <x:v>尺寸重量 / negative</x:v>
      </x:c>
      <x:c r="F35" s="41" t="str">
        <x:v>尺寸重量 / negative</x:v>
      </x:c>
      <x:c r="G35" s="41" t="str">
        <x:v>未映射</x:v>
      </x:c>
      <x:c r="H35" s="41" t="str">
        <x:v>未映射</x:v>
      </x:c>
      <x:c r="I35" s="41" t="str">
        <x:v>已映射</x:v>
      </x:c>
      <x:c r="J35" s="42" t="str">
        <x:v>通过</x:v>
      </x:c>
    </x:row>
    <x:row r="36" ht="47" customHeight="1">
      <x:c r="A36" s="40" t="str">
        <x:v>R031</x:v>
      </x:c>
      <x:c r="B36" s="41" t="n">
        <x:v>5</x:v>
      </x:c>
      <x:c r="C36" s="41" t="str">
        <x:v>2026-09-01</x:v>
      </x:c>
      <x:c r="D36" s="41" t="str">
        <x:v>The small, lightweight design is portable for travel.</x:v>
      </x:c>
      <x:c r="E36" s="41" t="str">
        <x:v>尺寸重量 / positive</x:v>
      </x:c>
      <x:c r="F36" s="41" t="str">
        <x:v>尺寸重量 / positive</x:v>
      </x:c>
      <x:c r="G36" s="41" t="str">
        <x:v>未映射</x:v>
      </x:c>
      <x:c r="H36" s="41" t="str">
        <x:v>未映射</x:v>
      </x:c>
      <x:c r="I36" s="41" t="str">
        <x:v>已映射</x:v>
      </x:c>
      <x:c r="J36" s="42" t="str">
        <x:v>通过</x:v>
      </x:c>
    </x:row>
    <x:row r="37" ht="47" customHeight="1">
      <x:c r="A37" s="40" t="str">
        <x:v>R032</x:v>
      </x:c>
      <x:c r="B37" s="41" t="n">
        <x:v>2</x:v>
      </x:c>
      <x:c r="C37" s="41" t="str">
        <x:v>2026-09-03</x:v>
      </x:c>
      <x:c r="D37" s="41" t="str">
        <x:v>The flange is sore after a short session.</x:v>
      </x:c>
      <x:c r="E37" s="41" t="str">
        <x:v>舒适度 / negative</x:v>
      </x:c>
      <x:c r="F37" s="41" t="str">
        <x:v>舒适度 / negative</x:v>
      </x:c>
      <x:c r="G37" s="41" t="str">
        <x:v>未映射</x:v>
      </x:c>
      <x:c r="H37" s="41" t="str">
        <x:v>未映射</x:v>
      </x:c>
      <x:c r="I37" s="41" t="str">
        <x:v>已映射</x:v>
      </x:c>
      <x:c r="J37" s="42" t="str">
        <x:v>通过</x:v>
      </x:c>
    </x:row>
    <x:row r="38" ht="47" customHeight="1">
      <x:c r="A38" s="40" t="str">
        <x:v>R033</x:v>
      </x:c>
      <x:c r="B38" s="41" t="n">
        <x:v>5</x:v>
      </x:c>
      <x:c r="C38" s="41" t="str">
        <x:v>2026-09-05</x:v>
      </x:c>
      <x:c r="D38" s="41" t="str">
        <x:v>The soft flange stays comfortable throughout the session.</x:v>
      </x:c>
      <x:c r="E38" s="41" t="str">
        <x:v>舒适度 / positive</x:v>
      </x:c>
      <x:c r="F38" s="41" t="str">
        <x:v>舒适度 / positive</x:v>
      </x:c>
      <x:c r="G38" s="41" t="str">
        <x:v>未映射</x:v>
      </x:c>
      <x:c r="H38" s="41" t="str">
        <x:v>未映射</x:v>
      </x:c>
      <x:c r="I38" s="41" t="str">
        <x:v>已映射</x:v>
      </x:c>
      <x:c r="J38" s="42" t="str">
        <x:v>通过</x:v>
      </x:c>
    </x:row>
    <x:row r="39" ht="47" customHeight="1">
      <x:c r="A39" s="40" t="str">
        <x:v>R034</x:v>
      </x:c>
      <x:c r="B39" s="41" t="n">
        <x:v>2</x:v>
      </x:c>
      <x:c r="C39" s="41" t="str">
        <x:v>2026-09-07</x:v>
      </x:c>
      <x:c r="D39" s="41" t="str">
        <x:v>Assembly is difficult without help.</x:v>
      </x:c>
      <x:c r="E39" s="41" t="str">
        <x:v>易用性 / negative</x:v>
      </x:c>
      <x:c r="F39" s="41" t="str">
        <x:v>易用性 / negative</x:v>
      </x:c>
      <x:c r="G39" s="41" t="str">
        <x:v>未映射</x:v>
      </x:c>
      <x:c r="H39" s="41" t="str">
        <x:v>未映射</x:v>
      </x:c>
      <x:c r="I39" s="41" t="str">
        <x:v>已映射</x:v>
      </x:c>
      <x:c r="J39" s="42" t="str">
        <x:v>通过</x:v>
      </x:c>
    </x:row>
    <x:row r="40" ht="47" customHeight="1">
      <x:c r="A40" s="40" t="str">
        <x:v>R035</x:v>
      </x:c>
      <x:c r="B40" s="41" t="n">
        <x:v>5</x:v>
      </x:c>
      <x:c r="C40" s="41" t="str">
        <x:v>2026-09-09</x:v>
      </x:c>
      <x:c r="D40" s="41" t="str">
        <x:v>The setup guide is clear and easy to follow.</x:v>
      </x:c>
      <x:c r="E40" s="41" t="str">
        <x:v>易用性 / positive</x:v>
      </x:c>
      <x:c r="F40" s="41" t="str">
        <x:v>易用性 / positive</x:v>
      </x:c>
      <x:c r="G40" s="41" t="str">
        <x:v>未映射</x:v>
      </x:c>
      <x:c r="H40" s="41" t="str">
        <x:v>未映射</x:v>
      </x:c>
      <x:c r="I40" s="41" t="str">
        <x:v>已映射</x:v>
      </x:c>
      <x:c r="J40" s="42" t="str">
        <x:v>通过</x:v>
      </x:c>
    </x:row>
    <x:row r="41" ht="47" customHeight="1">
      <x:c r="A41" s="40" t="str">
        <x:v>R036</x:v>
      </x:c>
      <x:c r="B41" s="41" t="n">
        <x:v>2</x:v>
      </x:c>
      <x:c r="C41" s="41" t="str">
        <x:v>2026-09-11</x:v>
      </x:c>
      <x:c r="D41" s="41" t="str">
        <x:v>Customer service ignored my request for a replacement part.</x:v>
      </x:c>
      <x:c r="E41" s="41" t="str">
        <x:v>客服 / negative</x:v>
      </x:c>
      <x:c r="F41" s="41" t="str">
        <x:v>客服 / negative</x:v>
      </x:c>
      <x:c r="G41" s="41" t="str">
        <x:v>未映射</x:v>
      </x:c>
      <x:c r="H41" s="41" t="str">
        <x:v>未映射</x:v>
      </x:c>
      <x:c r="I41" s="41" t="str">
        <x:v>已映射</x:v>
      </x:c>
      <x:c r="J41" s="42" t="str">
        <x:v>通过</x:v>
      </x:c>
    </x:row>
    <x:row r="42" ht="47" customHeight="1">
      <x:c r="A42" s="40" t="str">
        <x:v>R037</x:v>
      </x:c>
      <x:c r="B42" s="41" t="n">
        <x:v>5</x:v>
      </x:c>
      <x:c r="C42" s="41" t="str">
        <x:v>2026-09-13</x:v>
      </x:c>
      <x:c r="D42" s="41" t="str">
        <x:v>Support replied quickly and gave a helpful answer.</x:v>
      </x:c>
      <x:c r="E42" s="41" t="str">
        <x:v>客服 / positive</x:v>
      </x:c>
      <x:c r="F42" s="41" t="str">
        <x:v>客服 / positive</x:v>
      </x:c>
      <x:c r="G42" s="41" t="str">
        <x:v>未映射</x:v>
      </x:c>
      <x:c r="H42" s="41" t="str">
        <x:v>未映射</x:v>
      </x:c>
      <x:c r="I42" s="41" t="str">
        <x:v>已映射</x:v>
      </x:c>
      <x:c r="J42" s="42" t="str">
        <x:v>通过</x:v>
      </x:c>
    </x:row>
    <x:row r="43" ht="47" customHeight="1">
      <x:c r="A43" s="40" t="str">
        <x:v>R038</x:v>
      </x:c>
      <x:c r="B43" s="41" t="n">
        <x:v>2</x:v>
      </x:c>
      <x:c r="C43" s="41" t="str">
        <x:v>2026-09-15</x:v>
      </x:c>
      <x:c r="D43" s="41" t="str">
        <x:v>Shipping was delayed for a week.</x:v>
      </x:c>
      <x:c r="E43" s="41" t="str">
        <x:v>物流 / negative</x:v>
      </x:c>
      <x:c r="F43" s="41" t="str">
        <x:v>物流 / negative</x:v>
      </x:c>
      <x:c r="G43" s="41" t="str">
        <x:v>未映射</x:v>
      </x:c>
      <x:c r="H43" s="41" t="str">
        <x:v>未映射</x:v>
      </x:c>
      <x:c r="I43" s="41" t="str">
        <x:v>已映射</x:v>
      </x:c>
      <x:c r="J43" s="42" t="str">
        <x:v>通过</x:v>
      </x:c>
    </x:row>
    <x:row r="44" ht="47" customHeight="1">
      <x:c r="A44" s="40" t="str">
        <x:v>R039</x:v>
      </x:c>
      <x:c r="B44" s="41" t="n">
        <x:v>5</x:v>
      </x:c>
      <x:c r="C44" s="41" t="str">
        <x:v>2026-09-17</x:v>
      </x:c>
      <x:c r="D44" s="41" t="str">
        <x:v>Delivery arrived early and the package was safe.</x:v>
      </x:c>
      <x:c r="E44" s="41" t="str">
        <x:v>物流 / positive</x:v>
      </x:c>
      <x:c r="F44" s="41" t="str">
        <x:v>物流 / positive</x:v>
      </x:c>
      <x:c r="G44" s="41" t="str">
        <x:v>未映射</x:v>
      </x:c>
      <x:c r="H44" s="41" t="str">
        <x:v>未映射</x:v>
      </x:c>
      <x:c r="I44" s="41" t="str">
        <x:v>已映射</x:v>
      </x:c>
      <x:c r="J44" s="42" t="str">
        <x:v>通过</x:v>
      </x:c>
    </x:row>
    <x:row r="45" ht="47" customHeight="1">
      <x:c r="A45" s="40" t="str">
        <x:v>R040</x:v>
      </x:c>
      <x:c r="B45" s="41" t="n">
        <x:v>2</x:v>
      </x:c>
      <x:c r="C45" s="41" t="str">
        <x:v>2026-09-19</x:v>
      </x:c>
      <x:c r="D45" s="41" t="str">
        <x:v>This price is too high for the build quality.</x:v>
      </x:c>
      <x:c r="E45" s="41" t="str">
        <x:v>价格 / negative</x:v>
      </x:c>
      <x:c r="F45" s="41" t="str">
        <x:v>价格 / negative</x:v>
      </x:c>
      <x:c r="G45" s="41" t="str">
        <x:v>未映射</x:v>
      </x:c>
      <x:c r="H45" s="41" t="str">
        <x:v>未映射</x:v>
      </x:c>
      <x:c r="I45" s="41" t="str">
        <x:v>已映射</x:v>
      </x:c>
      <x:c r="J45" s="42" t="str">
        <x:v>通过</x:v>
      </x:c>
    </x:row>
    <x:row r="46" ht="47" customHeight="1">
      <x:c r="A46" s="40" t="str">
        <x:v>R041</x:v>
      </x:c>
      <x:c r="B46" s="41" t="n">
        <x:v>5</x:v>
      </x:c>
      <x:c r="C46" s="41" t="str">
        <x:v>2026-09-21</x:v>
      </x:c>
      <x:c r="D46" s="41" t="str">
        <x:v>The cost is affordable for a daily-use pump.</x:v>
      </x:c>
      <x:c r="E46" s="41" t="str">
        <x:v>价格 / positive</x:v>
      </x:c>
      <x:c r="F46" s="41" t="str">
        <x:v>价格 / positive</x:v>
      </x:c>
      <x:c r="G46" s="41" t="str">
        <x:v>未映射</x:v>
      </x:c>
      <x:c r="H46" s="41" t="str">
        <x:v>未映射</x:v>
      </x:c>
      <x:c r="I46" s="41" t="str">
        <x:v>已映射</x:v>
      </x:c>
      <x:c r="J46" s="42" t="str">
        <x:v>通过</x:v>
      </x:c>
    </x:row>
    <x:row r="47" ht="47" customHeight="1">
      <x:c r="A47" s="40" t="str">
        <x:v>R042</x:v>
      </x:c>
      <x:c r="B47" s="41" t="n">
        <x:v>5</x:v>
      </x:c>
      <x:c r="C47" s="41" t="str">
        <x:v>2026-09-23</x:v>
      </x:c>
      <x:c r="D47" s="41" t="str">
        <x:v>The noise is quiet. The flange is comfortable for a full session.</x:v>
      </x:c>
      <x:c r="E47" s="41" t="str">
        <x:v>噪音 / positive；舒适度 / positive</x:v>
      </x:c>
      <x:c r="F47" s="41" t="str">
        <x:v>噪音 / positive；舒适度 / positive</x:v>
      </x:c>
      <x:c r="G47" s="41" t="str">
        <x:v>未映射</x:v>
      </x:c>
      <x:c r="H47" s="41" t="str">
        <x:v>未映射</x:v>
      </x:c>
      <x:c r="I47" s="41" t="str">
        <x:v>已映射</x:v>
      </x:c>
      <x:c r="J47" s="42" t="str">
        <x:v>通过</x:v>
      </x:c>
    </x:row>
    <x:row r="48" ht="47" customHeight="1">
      <x:c r="A48" s="40" t="str">
        <x:v>R043</x:v>
      </x:c>
      <x:c r="B48" s="41" t="n">
        <x:v>2</x:v>
      </x:c>
      <x:c r="C48" s="41" t="str">
        <x:v>2026-09-25</x:v>
      </x:c>
      <x:c r="D48" s="41" t="str">
        <x:v>The sound is noisy. The fit hurts after ten minutes.</x:v>
      </x:c>
      <x:c r="E48" s="41" t="str">
        <x:v>噪音 / negative；舒适度 / negative</x:v>
      </x:c>
      <x:c r="F48" s="41" t="str">
        <x:v>噪音 / negative；舒适度 / negative</x:v>
      </x:c>
      <x:c r="G48" s="41" t="str">
        <x:v>未映射</x:v>
      </x:c>
      <x:c r="H48" s="41" t="str">
        <x:v>未映射</x:v>
      </x:c>
      <x:c r="I48" s="41" t="str">
        <x:v>已映射</x:v>
      </x:c>
      <x:c r="J48" s="42" t="str">
        <x:v>通过</x:v>
      </x:c>
    </x:row>
    <x:row r="49" ht="47" customHeight="1">
      <x:c r="A49" s="40" t="str">
        <x:v>R044</x:v>
      </x:c>
      <x:c r="B49" s="41" t="n">
        <x:v>3</x:v>
      </x:c>
      <x:c r="C49" s="41" t="str">
        <x:v>2026-09-27</x:v>
      </x:c>
      <x:c r="D49" s="41" t="str">
        <x:v>The suction is powerful, however battery life is poor.</x:v>
      </x:c>
      <x:c r="E49" s="41" t="str">
        <x:v>充电 / negative；吸力 / positive</x:v>
      </x:c>
      <x:c r="F49" s="41" t="str">
        <x:v>充电 / negative；吸力 / positive</x:v>
      </x:c>
      <x:c r="G49" s="41" t="str">
        <x:v>未映射</x:v>
      </x:c>
      <x:c r="H49" s="41" t="str">
        <x:v>未映射</x:v>
      </x:c>
      <x:c r="I49" s="41" t="str">
        <x:v>已映射</x:v>
      </x:c>
      <x:c r="J49" s="42" t="str">
        <x:v>通过</x:v>
      </x:c>
    </x:row>
    <x:row r="50" ht="47" customHeight="1">
      <x:c r="A50" s="40" t="str">
        <x:v>R045</x:v>
      </x:c>
      <x:c r="B50" s="41" t="n">
        <x:v>3</x:v>
      </x:c>
      <x:c r="C50" s="41" t="str">
        <x:v>2026-09-29</x:v>
      </x:c>
      <x:c r="D50" s="41" t="str">
        <x:v>The suction is weak; the size is compact.</x:v>
      </x:c>
      <x:c r="E50" s="41" t="str">
        <x:v>吸力 / negative；尺寸重量 / positive</x:v>
      </x:c>
      <x:c r="F50" s="41" t="str">
        <x:v>吸力 / negative；尺寸重量 / positive</x:v>
      </x:c>
      <x:c r="G50" s="41" t="str">
        <x:v>未映射</x:v>
      </x:c>
      <x:c r="H50" s="41" t="str">
        <x:v>未映射</x:v>
      </x:c>
      <x:c r="I50" s="41" t="str">
        <x:v>已映射</x:v>
      </x:c>
      <x:c r="J50" s="42" t="str">
        <x:v>通过</x:v>
      </x:c>
    </x:row>
    <x:row r="51" ht="47" customHeight="1">
      <x:c r="A51" s="40" t="str">
        <x:v>R046</x:v>
      </x:c>
      <x:c r="B51" s="41" t="n">
        <x:v>5</x:v>
      </x:c>
      <x:c r="C51" s="41" t="str">
        <x:v>2026-10-01</x:v>
      </x:c>
      <x:c r="D51" s="41" t="str">
        <x:v>The device is easy to clean.</x:v>
      </x:c>
      <x:c r="E51" s="41" t="str">
        <x:v>易用性 / positive</x:v>
      </x:c>
      <x:c r="F51" s="41" t="str">
        <x:v>易用性 / positive</x:v>
      </x:c>
      <x:c r="G51" s="41" t="str">
        <x:v>未映射</x:v>
      </x:c>
      <x:c r="H51" s="41" t="str">
        <x:v>未映射</x:v>
      </x:c>
      <x:c r="I51" s="41" t="str">
        <x:v>已映射</x:v>
      </x:c>
      <x:c r="J51" s="42" t="str">
        <x:v>通过</x:v>
      </x:c>
    </x:row>
    <x:row r="52" ht="47" customHeight="1">
      <x:c r="A52" s="40" t="str">
        <x:v>R047</x:v>
      </x:c>
      <x:c r="B52" s="41" t="n">
        <x:v>2</x:v>
      </x:c>
      <x:c r="C52" s="41" t="str">
        <x:v>2026-10-03</x:v>
      </x:c>
      <x:c r="D52" s="41" t="str">
        <x:v>The device is difficult to clean.</x:v>
      </x:c>
      <x:c r="E52" s="41" t="str">
        <x:v>易用性 / negative</x:v>
      </x:c>
      <x:c r="F52" s="41" t="str">
        <x:v>易用性 / negative</x:v>
      </x:c>
      <x:c r="G52" s="41" t="str">
        <x:v>未映射</x:v>
      </x:c>
      <x:c r="H52" s="41" t="str">
        <x:v>未映射</x:v>
      </x:c>
      <x:c r="I52" s="41" t="str">
        <x:v>已映射</x:v>
      </x:c>
      <x:c r="J52" s="42" t="str">
        <x:v>通过</x:v>
      </x:c>
    </x:row>
    <x:row r="53" ht="47" customHeight="1">
      <x:c r="A53" s="40" t="str">
        <x:v>R048</x:v>
      </x:c>
      <x:c r="B53" s="41" t="n">
        <x:v>3</x:v>
      </x:c>
      <x:c r="C53" s="41" t="str">
        <x:v>2026-10-05</x:v>
      </x:c>
      <x:c r="D53" s="41" t="str">
        <x:v>The value is worth it, but delivery was late.</x:v>
      </x:c>
      <x:c r="E53" s="41" t="str">
        <x:v>价格 / positive；物流 / negative</x:v>
      </x:c>
      <x:c r="F53" s="41" t="str">
        <x:v>价格 / positive；物流 / negative</x:v>
      </x:c>
      <x:c r="G53" s="41" t="str">
        <x:v>未映射</x:v>
      </x:c>
      <x:c r="H53" s="41" t="str">
        <x:v>未映射</x:v>
      </x:c>
      <x:c r="I53" s="41" t="str">
        <x:v>已映射</x:v>
      </x:c>
      <x:c r="J53" s="42" t="str">
        <x:v>通过</x:v>
      </x:c>
    </x:row>
    <x:row r="54" ht="47" customHeight="1">
      <x:c r="A54" s="40" t="str">
        <x:v>R049</x:v>
      </x:c>
      <x:c r="B54" s="41" t="n">
        <x:v>3</x:v>
      </x:c>
      <x:c r="C54" s="41" t="str">
        <x:v>2026-10-07</x:v>
      </x:c>
      <x:c r="D54" s="41" t="str">
        <x:v>The price is expensive, but customer support was helpful.</x:v>
      </x:c>
      <x:c r="E54" s="41" t="str">
        <x:v>价格 / negative；客服 / positive</x:v>
      </x:c>
      <x:c r="F54" s="41" t="str">
        <x:v>价格 / negative；客服 / positive</x:v>
      </x:c>
      <x:c r="G54" s="41" t="str">
        <x:v>未映射</x:v>
      </x:c>
      <x:c r="H54" s="41" t="str">
        <x:v>未映射</x:v>
      </x:c>
      <x:c r="I54" s="41" t="str">
        <x:v>已映射</x:v>
      </x:c>
      <x:c r="J54" s="42" t="str">
        <x:v>通过</x:v>
      </x:c>
    </x:row>
    <x:row r="55" ht="47" customHeight="1">
      <x:c r="A55" s="40" t="str">
        <x:v>R050</x:v>
      </x:c>
      <x:c r="B55" s="41" t="n">
        <x:v>5</x:v>
      </x:c>
      <x:c r="C55" s="41" t="str">
        <x:v>2026-10-09</x:v>
      </x:c>
      <x:c r="D55" s="41" t="str">
        <x:v>The pump is silent during calls.</x:v>
      </x:c>
      <x:c r="E55" s="41" t="str">
        <x:v>噪音 / positive</x:v>
      </x:c>
      <x:c r="F55" s="41" t="str">
        <x:v>噪音 / positive</x:v>
      </x:c>
      <x:c r="G55" s="41" t="str">
        <x:v>未映射</x:v>
      </x:c>
      <x:c r="H55" s="41" t="str">
        <x:v>未映射</x:v>
      </x:c>
      <x:c r="I55" s="41" t="str">
        <x:v>已映射</x:v>
      </x:c>
      <x:c r="J55" s="42" t="str">
        <x:v>通过</x:v>
      </x:c>
    </x:row>
    <x:row r="56" ht="47" customHeight="1">
      <x:c r="A56" s="40" t="str">
        <x:v>R051</x:v>
      </x:c>
      <x:c r="B56" s="41" t="n">
        <x:v>1</x:v>
      </x:c>
      <x:c r="C56" s="41" t="str">
        <x:v>2026-10-11</x:v>
      </x:c>
      <x:c r="D56" s="41" t="str">
        <x:v>The pump wakes everyone because it is loud.</x:v>
      </x:c>
      <x:c r="E56" s="41" t="str">
        <x:v>噪音 / negative</x:v>
      </x:c>
      <x:c r="F56" s="41" t="str">
        <x:v>噪音 / negative</x:v>
      </x:c>
      <x:c r="G56" s="41" t="str">
        <x:v>未映射</x:v>
      </x:c>
      <x:c r="H56" s="41" t="str">
        <x:v>未映射</x:v>
      </x:c>
      <x:c r="I56" s="41" t="str">
        <x:v>已映射</x:v>
      </x:c>
      <x:c r="J56" s="42" t="str">
        <x:v>通过</x:v>
      </x:c>
    </x:row>
    <x:row r="57" ht="47" customHeight="1">
      <x:c r="A57" s="40" t="str">
        <x:v>R052</x:v>
      </x:c>
      <x:c r="B57" s="41" t="n">
        <x:v>5</x:v>
      </x:c>
      <x:c r="C57" s="41" t="str">
        <x:v>2026-10-13</x:v>
      </x:c>
      <x:c r="D57" s="41" t="str">
        <x:v>The fit is not painful after a full session.</x:v>
      </x:c>
      <x:c r="E57" s="41" t="str">
        <x:v>舒适度 / positive</x:v>
      </x:c>
      <x:c r="F57" s="41" t="str">
        <x:v>舒适度 / positive</x:v>
      </x:c>
      <x:c r="G57" s="41" t="str">
        <x:v>未映射</x:v>
      </x:c>
      <x:c r="H57" s="41" t="str">
        <x:v>未映射</x:v>
      </x:c>
      <x:c r="I57" s="41" t="str">
        <x:v>已映射</x:v>
      </x:c>
      <x:c r="J57" s="42" t="str">
        <x:v>通过</x:v>
      </x:c>
    </x:row>
    <x:row r="58" ht="47" customHeight="1">
      <x:c r="A58" s="40" t="str">
        <x:v>R053</x:v>
      </x:c>
      <x:c r="B58" s="41" t="n">
        <x:v>2</x:v>
      </x:c>
      <x:c r="C58" s="41" t="str">
        <x:v>2026-10-15</x:v>
      </x:c>
      <x:c r="D58" s="41" t="str">
        <x:v>The fit is not comfortable after a full session.</x:v>
      </x:c>
      <x:c r="E58" s="41" t="str">
        <x:v>舒适度 / negative</x:v>
      </x:c>
      <x:c r="F58" s="41" t="str">
        <x:v>舒适度 / negative</x:v>
      </x:c>
      <x:c r="G58" s="41" t="str">
        <x:v>未映射</x:v>
      </x:c>
      <x:c r="H58" s="41" t="str">
        <x:v>未映射</x:v>
      </x:c>
      <x:c r="I58" s="41" t="str">
        <x:v>已映射</x:v>
      </x:c>
      <x:c r="J58" s="42" t="str">
        <x:v>通过</x:v>
      </x:c>
    </x:row>
    <x:row r="59" ht="47" customHeight="1">
      <x:c r="A59" s="40" t="str">
        <x:v>R054</x:v>
      </x:c>
      <x:c r="B59" s="41" t="n">
        <x:v>1</x:v>
      </x:c>
      <x:c r="C59" s="41" t="str">
        <x:v>2026-10-17</x:v>
      </x:c>
      <x:c r="D59" s="41" t="str">
        <x:v>The battery is dead before lunch.</x:v>
      </x:c>
      <x:c r="E59" s="41" t="str">
        <x:v>充电 / negative</x:v>
      </x:c>
      <x:c r="F59" s="41" t="str">
        <x:v>充电 / negative</x:v>
      </x:c>
      <x:c r="G59" s="41" t="str">
        <x:v>未映射</x:v>
      </x:c>
      <x:c r="H59" s="41" t="str">
        <x:v>未映射</x:v>
      </x:c>
      <x:c r="I59" s="41" t="str">
        <x:v>已映射</x:v>
      </x:c>
      <x:c r="J59" s="42" t="str">
        <x:v>通过</x:v>
      </x:c>
    </x:row>
    <x:row r="60" ht="47" customHeight="1">
      <x:c r="A60" s="40" t="str">
        <x:v>R055</x:v>
      </x:c>
      <x:c r="B60" s="41" t="n">
        <x:v>5</x:v>
      </x:c>
      <x:c r="C60" s="41" t="str">
        <x:v>2026-10-19</x:v>
      </x:c>
      <x:c r="D60" s="41" t="str">
        <x:v>The battery remains strong all day.</x:v>
      </x:c>
      <x:c r="E60" s="41" t="str">
        <x:v>充电 / positive</x:v>
      </x:c>
      <x:c r="F60" s="41" t="str">
        <x:v>充电 / positive</x:v>
      </x:c>
      <x:c r="G60" s="41" t="str">
        <x:v>未映射</x:v>
      </x:c>
      <x:c r="H60" s="41" t="str">
        <x:v>未映射</x:v>
      </x:c>
      <x:c r="I60" s="41" t="str">
        <x:v>已映射</x:v>
      </x:c>
      <x:c r="J60" s="42" t="str">
        <x:v>通过</x:v>
      </x:c>
    </x:row>
    <x:row r="61" ht="47" customHeight="1">
      <x:c r="A61" s="40" t="str">
        <x:v>R056</x:v>
      </x:c>
      <x:c r="B61" s="41" t="n">
        <x:v>2</x:v>
      </x:c>
      <x:c r="C61" s="41" t="str">
        <x:v>2026-10-21</x:v>
      </x:c>
      <x:c r="D61" s="41" t="str">
        <x:v>The delivery package arrived damaged.</x:v>
      </x:c>
      <x:c r="E61" s="41" t="str">
        <x:v>物流 / negative</x:v>
      </x:c>
      <x:c r="F61" s="41" t="str">
        <x:v>物流 / negative</x:v>
      </x:c>
      <x:c r="G61" s="41" t="str">
        <x:v>未映射</x:v>
      </x:c>
      <x:c r="H61" s="41" t="str">
        <x:v>未映射</x:v>
      </x:c>
      <x:c r="I61" s="41" t="str">
        <x:v>已映射</x:v>
      </x:c>
      <x:c r="J61" s="42" t="str">
        <x:v>通过</x:v>
      </x:c>
    </x:row>
    <x:row r="62" ht="47" customHeight="1">
      <x:c r="A62" s="40" t="str">
        <x:v>R057</x:v>
      </x:c>
      <x:c r="B62" s="41" t="n">
        <x:v>5</x:v>
      </x:c>
      <x:c r="C62" s="41" t="str">
        <x:v>2026-10-23</x:v>
      </x:c>
      <x:c r="D62" s="41" t="str">
        <x:v>The package arrived safely and shipping was fast.</x:v>
      </x:c>
      <x:c r="E62" s="41" t="str">
        <x:v>物流 / positive</x:v>
      </x:c>
      <x:c r="F62" s="41" t="str">
        <x:v>物流 / positive</x:v>
      </x:c>
      <x:c r="G62" s="41" t="str">
        <x:v>未映射</x:v>
      </x:c>
      <x:c r="H62" s="41" t="str">
        <x:v>未映射</x:v>
      </x:c>
      <x:c r="I62" s="41" t="str">
        <x:v>已映射</x:v>
      </x:c>
      <x:c r="J62" s="42" t="str">
        <x:v>通过</x:v>
      </x:c>
    </x:row>
    <x:row r="63" ht="47" customHeight="1">
      <x:c r="A63" s="40" t="str">
        <x:v>R058</x:v>
      </x:c>
      <x:c r="B63" s="41" t="n">
        <x:v>3</x:v>
      </x:c>
      <x:c r="C63" s="41" t="str">
        <x:v>2026-10-25</x:v>
      </x:c>
      <x:c r="D63" s="41" t="str">
        <x:v>The instructions are complicated, although customer support is responsive.</x:v>
      </x:c>
      <x:c r="E63" s="41" t="str">
        <x:v>客服 / positive；易用性 / negative</x:v>
      </x:c>
      <x:c r="F63" s="41" t="str">
        <x:v>客服 / positive；易用性 / negative</x:v>
      </x:c>
      <x:c r="G63" s="41" t="str">
        <x:v>未映射</x:v>
      </x:c>
      <x:c r="H63" s="41" t="str">
        <x:v>未映射</x:v>
      </x:c>
      <x:c r="I63" s="41" t="str">
        <x:v>已映射</x:v>
      </x:c>
      <x:c r="J63" s="42" t="str">
        <x:v>通过</x:v>
      </x:c>
    </x:row>
    <x:row r="64" ht="47" customHeight="1">
      <x:c r="A64" s="40" t="str">
        <x:v>R059</x:v>
      </x:c>
      <x:c r="B64" s="41" t="n">
        <x:v>5</x:v>
      </x:c>
      <x:c r="C64" s="41" t="str">
        <x:v>2026-10-27</x:v>
      </x:c>
      <x:c r="D64" s="41" t="str">
        <x:v>The price is reasonable and the setup is simple.</x:v>
      </x:c>
      <x:c r="E64" s="41" t="str">
        <x:v>价格 / positive；易用性 / positive</x:v>
      </x:c>
      <x:c r="F64" s="41" t="str">
        <x:v>价格 / positive；易用性 / positive</x:v>
      </x:c>
      <x:c r="G64" s="41" t="str">
        <x:v>未映射</x:v>
      </x:c>
      <x:c r="H64" s="41" t="str">
        <x:v>未映射</x:v>
      </x:c>
      <x:c r="I64" s="41" t="str">
        <x:v>已映射</x:v>
      </x:c>
      <x:c r="J64" s="42" t="str">
        <x:v>通过</x:v>
      </x:c>
    </x:row>
    <x:row r="65" ht="47" customHeight="1">
      <x:c r="A65" s="43" t="str">
        <x:v>R060</x:v>
      </x:c>
      <x:c r="B65" s="44" t="n">
        <x:v>2</x:v>
      </x:c>
      <x:c r="C65" s="44" t="str">
        <x:v>2026-10-29</x:v>
      </x:c>
      <x:c r="D65" s="44" t="str">
        <x:v>It leaked when I bent over, and I need session history in the app.</x:v>
      </x:c>
      <x:c r="E65" s="44" t="str">
        <x:v>未映射</x:v>
      </x:c>
      <x:c r="F65" s="44" t="str">
        <x:v>未映射</x:v>
      </x:c>
      <x:c r="G65" s="44" t="str">
        <x:v>未映射</x:v>
      </x:c>
      <x:c r="H65" s="44" t="str">
        <x:v>未映射</x:v>
      </x:c>
      <x:c r="I65" s="44" t="str">
        <x:v>未映射，保留未知</x:v>
      </x:c>
      <x:c r="J65" s="45" t="str">
        <x:v>通过</x:v>
      </x:c>
    </x:row>
    <x:row r="68" ht="40" customHeight="1">
      <x:c r="A68" s="95" t="str">
        <x:v>当前结论</x:v>
      </x:c>
      <x:c r="B68" s="96" t="str">
        <x:v>精确匹配 60/60（100.0%）。本轮候选可进入独立盲测，但不能据此接入真实评论或下业务结论。</x:v>
      </x:c>
      <x:c r="C68" s="96" t="str"/>
      <x:c r="D68" s="96" t="str"/>
      <x:c r="E68" s="96" t="str"/>
      <x:c r="F68" s="96" t="str"/>
      <x:c r="G68" s="96" t="str"/>
      <x:c r="H68" s="96" t="str"/>
      <x:c r="I68" s="96" t="str"/>
      <x:c r="J68" s="97" t="str"/>
    </x:row>
  </x:sheetData>
  <x:conditionalFormatting sqref="J6:J65">
    <x:cfRule type="containsText" dxfId="0" priority="1" operator="containsText" text="通过"/>
    <x:cfRule type="containsText" dxfId="1" priority="2" operator="containsText" text="未通过"/>
  </x:conditionalFormatting>
  <x:conditionalFormatting sqref="I6:I65">
    <x:cfRule type="containsText" dxfId="2" priority="3" operator="containsText" text="未映射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A5D1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48" hidden="0" customWidth="1"/>
    <x:col min="4" max="4" width="12" hidden="0" customWidth="1"/>
    <x:col min="5" max="5" width="12" hidden="0" customWidth="1"/>
    <x:col min="6" max="6" width="27" hidden="0" customWidth="1"/>
    <x:col min="7" max="7" width="27" hidden="0" customWidth="1"/>
    <x:col min="8" max="8" width="13" hidden="0" customWidth="1"/>
    <x:col min="9" max="9" width="13" hidden="0" customWidth="1"/>
    <x:col min="10" max="10" width="12" hidden="0" customWidth="1"/>
    <x:col min="11" max="11" width="12" hidden="0" customWidth="1"/>
  </x:cols>
  <x:sheetData>
    <x:row r="2">
      <x:c r="A2" s="1" t="str">
        <x:v>D02 购买前需求信号归集</x:v>
      </x:c>
    </x:row>
    <x:row r="3" ht="30" customHeight="1">
      <x:c r="A3" s="3" t="str">
        <x:v>人工标注的合成搜索表达；比较、问题、功能、属性、导航的优先级与机会规则边界逐条复核。</x:v>
      </x:c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32" customHeight="1">
      <x:c r="A5" s="16" t="str">
        <x:v>查询 ID</x:v>
      </x:c>
      <x:c r="B5" s="17" t="str">
        <x:v>月份</x:v>
      </x:c>
      <x:c r="C5" s="17" t="str">
        <x:v>合成搜索表达</x:v>
      </x:c>
      <x:c r="D5" s="17" t="str">
        <x:v>合成量级</x:v>
      </x:c>
      <x:c r="E5" s="17" t="str">
        <x:v>点击代理</x:v>
      </x:c>
      <x:c r="F5" s="17" t="str">
        <x:v>预期意图 / 情感</x:v>
      </x:c>
      <x:c r="G5" s="17" t="str">
        <x:v>实际意图 / 情感</x:v>
      </x:c>
      <x:c r="H5" s="17" t="str">
        <x:v>应命中规则</x:v>
      </x:c>
      <x:c r="I5" s="17" t="str">
        <x:v>实际规则</x:v>
      </x:c>
      <x:c r="J5" s="17" t="str">
        <x:v>语义复核</x:v>
      </x:c>
      <x:c r="K5" s="18" t="str">
        <x:v>规则复核</x:v>
      </x:c>
    </x:row>
    <x:row r="6" ht="43" customHeight="1">
      <x:c r="A6" s="37" t="str">
        <x:v>Q001</x:v>
      </x:c>
      <x:c r="B6" s="38" t="str">
        <x:v>2026-07</x:v>
      </x:c>
      <x:c r="C6" s="38" t="str">
        <x:v>wearable breast pump leaking milk</x:v>
      </x:c>
      <x:c r="D6" s="98" t="n">
        <x:v>6200</x:v>
      </x:c>
      <x:c r="E6" s="101" t="n">
        <x:v>0.14</x:v>
      </x:c>
      <x:c r="F6" s="38" t="str">
        <x:v>意图：problem_solving；情感：negative_pain</x:v>
      </x:c>
      <x:c r="G6" s="38" t="str">
        <x:v>意图：problem_solving；情感：negative_pain</x:v>
      </x:c>
      <x:c r="H6" s="38" t="str">
        <x:v>命中</x:v>
      </x:c>
      <x:c r="I6" s="38" t="str">
        <x:v>命中</x:v>
      </x:c>
      <x:c r="J6" s="38" t="str">
        <x:v>通过</x:v>
      </x:c>
      <x:c r="K6" s="39" t="str">
        <x:v>通过</x:v>
      </x:c>
    </x:row>
    <x:row r="7" ht="43" customHeight="1">
      <x:c r="A7" s="40" t="str">
        <x:v>Q002</x:v>
      </x:c>
      <x:c r="B7" s="41" t="str">
        <x:v>2026-08</x:v>
      </x:c>
      <x:c r="C7" s="41" t="str">
        <x:v>quiet breast pump office</x:v>
      </x:c>
      <x:c r="D7" s="99" t="n">
        <x:v>5400</x:v>
      </x:c>
      <x:c r="E7" s="102" t="n">
        <x:v>0.31</x:v>
      </x:c>
      <x:c r="F7" s="41" t="str">
        <x:v>意图：attribute；情感：neutral</x:v>
      </x:c>
      <x:c r="G7" s="41" t="str">
        <x:v>意图：attribute；情感：neutral</x:v>
      </x:c>
      <x:c r="H7" s="41" t="str">
        <x:v>未命中</x:v>
      </x:c>
      <x:c r="I7" s="41" t="str">
        <x:v>未命中</x:v>
      </x:c>
      <x:c r="J7" s="41" t="str">
        <x:v>通过</x:v>
      </x:c>
      <x:c r="K7" s="42" t="str">
        <x:v>通过</x:v>
      </x:c>
    </x:row>
    <x:row r="8" ht="43" customHeight="1">
      <x:c r="A8" s="40" t="str">
        <x:v>Q003</x:v>
      </x:c>
      <x:c r="B8" s="41" t="str">
        <x:v>2026-09</x:v>
      </x:c>
      <x:c r="C8" s="41" t="str">
        <x:v>wearable pump suction too weak</x:v>
      </x:c>
      <x:c r="D8" s="99" t="n">
        <x:v>4900</x:v>
      </x:c>
      <x:c r="E8" s="102" t="n">
        <x:v>0.1</x:v>
      </x:c>
      <x:c r="F8" s="41" t="str">
        <x:v>意图：problem_solving；情感：negative_pain</x:v>
      </x:c>
      <x:c r="G8" s="41" t="str">
        <x:v>意图：problem_solving；情感：negative_pain</x:v>
      </x:c>
      <x:c r="H8" s="41" t="str">
        <x:v>命中</x:v>
      </x:c>
      <x:c r="I8" s="41" t="str">
        <x:v>命中</x:v>
      </x:c>
      <x:c r="J8" s="41" t="str">
        <x:v>通过</x:v>
      </x:c>
      <x:c r="K8" s="42" t="str">
        <x:v>通过</x:v>
      </x:c>
    </x:row>
    <x:row r="9" ht="43" customHeight="1">
      <x:c r="A9" s="40" t="str">
        <x:v>Q004</x:v>
      </x:c>
      <x:c r="B9" s="41" t="str">
        <x:v>2026-10</x:v>
      </x:c>
      <x:c r="C9" s="41" t="str">
        <x:v>hands free breast pump spill</x:v>
      </x:c>
      <x:c r="D9" s="99" t="n">
        <x:v>4500</x:v>
      </x:c>
      <x:c r="E9" s="102" t="n">
        <x:v>0.12</x:v>
      </x:c>
      <x:c r="F9" s="41" t="str">
        <x:v>意图：problem_solving；情感：negative_pain</x:v>
      </x:c>
      <x:c r="G9" s="41" t="str">
        <x:v>意图：problem_solving；情感：negative_pain</x:v>
      </x:c>
      <x:c r="H9" s="41" t="str">
        <x:v>命中</x:v>
      </x:c>
      <x:c r="I9" s="41" t="str">
        <x:v>命中</x:v>
      </x:c>
      <x:c r="J9" s="41" t="str">
        <x:v>通过</x:v>
      </x:c>
      <x:c r="K9" s="42" t="str">
        <x:v>通过</x:v>
      </x:c>
    </x:row>
    <x:row r="10" ht="43" customHeight="1">
      <x:c r="A10" s="40" t="str">
        <x:v>Q005</x:v>
      </x:c>
      <x:c r="B10" s="41" t="str">
        <x:v>2026-07</x:v>
      </x:c>
      <x:c r="C10" s="41" t="str">
        <x:v>comfortable wearable pump flange</x:v>
      </x:c>
      <x:c r="D10" s="99" t="n">
        <x:v>3800</x:v>
      </x:c>
      <x:c r="E10" s="102" t="n">
        <x:v>0.22</x:v>
      </x:c>
      <x:c r="F10" s="41" t="str">
        <x:v>意图：attribute；情感：neutral</x:v>
      </x:c>
      <x:c r="G10" s="41" t="str">
        <x:v>意图：attribute；情感：neutral</x:v>
      </x:c>
      <x:c r="H10" s="41" t="str">
        <x:v>未命中</x:v>
      </x:c>
      <x:c r="I10" s="41" t="str">
        <x:v>未命中</x:v>
      </x:c>
      <x:c r="J10" s="41" t="str">
        <x:v>通过</x:v>
      </x:c>
      <x:c r="K10" s="42" t="str">
        <x:v>通过</x:v>
      </x:c>
    </x:row>
    <x:row r="11" ht="43" customHeight="1">
      <x:c r="A11" s="40" t="str">
        <x:v>Q006</x:v>
      </x:c>
      <x:c r="B11" s="41" t="str">
        <x:v>2026-08</x:v>
      </x:c>
      <x:c r="C11" s="41" t="str">
        <x:v>wearable breast pump cleaning</x:v>
      </x:c>
      <x:c r="D11" s="99" t="n">
        <x:v>3200</x:v>
      </x:c>
      <x:c r="E11" s="102" t="n">
        <x:v>0.25</x:v>
      </x:c>
      <x:c r="F11" s="41" t="str">
        <x:v>意图：functional；情感：neutral</x:v>
      </x:c>
      <x:c r="G11" s="41" t="str">
        <x:v>意图：functional；情感：neutral</x:v>
      </x:c>
      <x:c r="H11" s="41" t="str">
        <x:v>未命中</x:v>
      </x:c>
      <x:c r="I11" s="41" t="str">
        <x:v>未命中</x:v>
      </x:c>
      <x:c r="J11" s="41" t="str">
        <x:v>通过</x:v>
      </x:c>
      <x:c r="K11" s="42" t="str">
        <x:v>通过</x:v>
      </x:c>
    </x:row>
    <x:row r="12" ht="43" customHeight="1">
      <x:c r="A12" s="40" t="str">
        <x:v>Q007</x:v>
      </x:c>
      <x:c r="B12" s="41" t="str">
        <x:v>2026-09</x:v>
      </x:c>
      <x:c r="C12" s="41" t="str">
        <x:v>wearable breast pump leaking milk</x:v>
      </x:c>
      <x:c r="D12" s="99" t="n">
        <x:v>6500</x:v>
      </x:c>
      <x:c r="E12" s="102" t="n">
        <x:v>0.13</x:v>
      </x:c>
      <x:c r="F12" s="41" t="str">
        <x:v>意图：problem_solving；情感：negative_pain</x:v>
      </x:c>
      <x:c r="G12" s="41" t="str">
        <x:v>意图：problem_solving；情感：negative_pain</x:v>
      </x:c>
      <x:c r="H12" s="41" t="str">
        <x:v>命中</x:v>
      </x:c>
      <x:c r="I12" s="41" t="str">
        <x:v>命中</x:v>
      </x:c>
      <x:c r="J12" s="41" t="str">
        <x:v>通过</x:v>
      </x:c>
      <x:c r="K12" s="42" t="str">
        <x:v>通过</x:v>
      </x:c>
    </x:row>
    <x:row r="13" ht="43" customHeight="1">
      <x:c r="A13" s="40" t="str">
        <x:v>Q008</x:v>
      </x:c>
      <x:c r="B13" s="41" t="str">
        <x:v>2026-10</x:v>
      </x:c>
      <x:c r="C13" s="41" t="str">
        <x:v>silent breast pump work office</x:v>
      </x:c>
      <x:c r="D13" s="99" t="n">
        <x:v>5900</x:v>
      </x:c>
      <x:c r="E13" s="102" t="n">
        <x:v>0.29</x:v>
      </x:c>
      <x:c r="F13" s="41" t="str">
        <x:v>意图：attribute；情感：neutral</x:v>
      </x:c>
      <x:c r="G13" s="41" t="str">
        <x:v>意图：attribute；情感：neutral</x:v>
      </x:c>
      <x:c r="H13" s="41" t="str">
        <x:v>未命中</x:v>
      </x:c>
      <x:c r="I13" s="41" t="str">
        <x:v>未命中</x:v>
      </x:c>
      <x:c r="J13" s="41" t="str">
        <x:v>通过</x:v>
      </x:c>
      <x:c r="K13" s="42" t="str">
        <x:v>通过</x:v>
      </x:c>
    </x:row>
    <x:row r="14" ht="43" customHeight="1">
      <x:c r="A14" s="40" t="str">
        <x:v>Q009</x:v>
      </x:c>
      <x:c r="B14" s="41" t="str">
        <x:v>2026-07</x:v>
      </x:c>
      <x:c r="C14" s="41" t="str">
        <x:v>wearable pump suction too weak</x:v>
      </x:c>
      <x:c r="D14" s="99" t="n">
        <x:v>5300</x:v>
      </x:c>
      <x:c r="E14" s="102" t="n">
        <x:v>0.09</x:v>
      </x:c>
      <x:c r="F14" s="41" t="str">
        <x:v>意图：problem_solving；情感：negative_pain</x:v>
      </x:c>
      <x:c r="G14" s="41" t="str">
        <x:v>意图：problem_solving；情感：negative_pain</x:v>
      </x:c>
      <x:c r="H14" s="41" t="str">
        <x:v>命中</x:v>
      </x:c>
      <x:c r="I14" s="41" t="str">
        <x:v>命中</x:v>
      </x:c>
      <x:c r="J14" s="41" t="str">
        <x:v>通过</x:v>
      </x:c>
      <x:c r="K14" s="42" t="str">
        <x:v>通过</x:v>
      </x:c>
    </x:row>
    <x:row r="15" ht="43" customHeight="1">
      <x:c r="A15" s="40" t="str">
        <x:v>Q010</x:v>
      </x:c>
      <x:c r="B15" s="41" t="str">
        <x:v>2026-08</x:v>
      </x:c>
      <x:c r="C15" s="41" t="str">
        <x:v>hands free breast pump spill</x:v>
      </x:c>
      <x:c r="D15" s="99" t="n">
        <x:v>4700</x:v>
      </x:c>
      <x:c r="E15" s="102" t="n">
        <x:v>0.11</x:v>
      </x:c>
      <x:c r="F15" s="41" t="str">
        <x:v>意图：problem_solving；情感：negative_pain</x:v>
      </x:c>
      <x:c r="G15" s="41" t="str">
        <x:v>意图：problem_solving；情感：negative_pain</x:v>
      </x:c>
      <x:c r="H15" s="41" t="str">
        <x:v>命中</x:v>
      </x:c>
      <x:c r="I15" s="41" t="str">
        <x:v>命中</x:v>
      </x:c>
      <x:c r="J15" s="41" t="str">
        <x:v>通过</x:v>
      </x:c>
      <x:c r="K15" s="42" t="str">
        <x:v>通过</x:v>
      </x:c>
    </x:row>
    <x:row r="16" ht="43" customHeight="1">
      <x:c r="A16" s="40" t="str">
        <x:v>Q011</x:v>
      </x:c>
      <x:c r="B16" s="41" t="str">
        <x:v>2026-09</x:v>
      </x:c>
      <x:c r="C16" s="41" t="str">
        <x:v>wearable pump flange size</x:v>
      </x:c>
      <x:c r="D16" s="99" t="n">
        <x:v>4100</x:v>
      </x:c>
      <x:c r="E16" s="102" t="n">
        <x:v>0.19</x:v>
      </x:c>
      <x:c r="F16" s="41" t="str">
        <x:v>意图：attribute；情感：neutral</x:v>
      </x:c>
      <x:c r="G16" s="41" t="str">
        <x:v>意图：attribute；情感：neutral</x:v>
      </x:c>
      <x:c r="H16" s="41" t="str">
        <x:v>未命中</x:v>
      </x:c>
      <x:c r="I16" s="41" t="str">
        <x:v>未命中</x:v>
      </x:c>
      <x:c r="J16" s="41" t="str">
        <x:v>通过</x:v>
      </x:c>
      <x:c r="K16" s="42" t="str">
        <x:v>通过</x:v>
      </x:c>
    </x:row>
    <x:row r="17" ht="43" customHeight="1">
      <x:c r="A17" s="40" t="str">
        <x:v>Q012</x:v>
      </x:c>
      <x:c r="B17" s="41" t="str">
        <x:v>2026-10</x:v>
      </x:c>
      <x:c r="C17" s="41" t="str">
        <x:v>best wearable breast pump</x:v>
      </x:c>
      <x:c r="D17" s="99" t="n">
        <x:v>7600</x:v>
      </x:c>
      <x:c r="E17" s="102" t="n">
        <x:v>0.35</x:v>
      </x:c>
      <x:c r="F17" s="41" t="str">
        <x:v>意图：comparison；情感：positive_expectation</x:v>
      </x:c>
      <x:c r="G17" s="41" t="str">
        <x:v>意图：comparison；情感：positive_expectation</x:v>
      </x:c>
      <x:c r="H17" s="41" t="str">
        <x:v>未命中</x:v>
      </x:c>
      <x:c r="I17" s="41" t="str">
        <x:v>未命中</x:v>
      </x:c>
      <x:c r="J17" s="41" t="str">
        <x:v>通过</x:v>
      </x:c>
      <x:c r="K17" s="42" t="str">
        <x:v>通过</x:v>
      </x:c>
    </x:row>
    <x:row r="18" ht="43" customHeight="1">
      <x:c r="A18" s="40" t="str">
        <x:v>Q013</x:v>
      </x:c>
      <x:c r="B18" s="41" t="str">
        <x:v>2026-07</x:v>
      </x:c>
      <x:c r="C18" s="41" t="str">
        <x:v>wearable breast pump leaking milk</x:v>
      </x:c>
      <x:c r="D18" s="99" t="n">
        <x:v>6800</x:v>
      </x:c>
      <x:c r="E18" s="102" t="n">
        <x:v>0.12</x:v>
      </x:c>
      <x:c r="F18" s="41" t="str">
        <x:v>意图：problem_solving；情感：negative_pain</x:v>
      </x:c>
      <x:c r="G18" s="41" t="str">
        <x:v>意图：problem_solving；情感：negative_pain</x:v>
      </x:c>
      <x:c r="H18" s="41" t="str">
        <x:v>命中</x:v>
      </x:c>
      <x:c r="I18" s="41" t="str">
        <x:v>命中</x:v>
      </x:c>
      <x:c r="J18" s="41" t="str">
        <x:v>通过</x:v>
      </x:c>
      <x:c r="K18" s="42" t="str">
        <x:v>通过</x:v>
      </x:c>
    </x:row>
    <x:row r="19" ht="43" customHeight="1">
      <x:c r="A19" s="40" t="str">
        <x:v>Q014</x:v>
      </x:c>
      <x:c r="B19" s="41" t="str">
        <x:v>2026-08</x:v>
      </x:c>
      <x:c r="C19" s="41" t="str">
        <x:v>quiet breast pump office</x:v>
      </x:c>
      <x:c r="D19" s="99" t="n">
        <x:v>5600</x:v>
      </x:c>
      <x:c r="E19" s="102" t="n">
        <x:v>0.3</x:v>
      </x:c>
      <x:c r="F19" s="41" t="str">
        <x:v>意图：attribute；情感：neutral</x:v>
      </x:c>
      <x:c r="G19" s="41" t="str">
        <x:v>意图：attribute；情感：neutral</x:v>
      </x:c>
      <x:c r="H19" s="41" t="str">
        <x:v>未命中</x:v>
      </x:c>
      <x:c r="I19" s="41" t="str">
        <x:v>未命中</x:v>
      </x:c>
      <x:c r="J19" s="41" t="str">
        <x:v>通过</x:v>
      </x:c>
      <x:c r="K19" s="42" t="str">
        <x:v>通过</x:v>
      </x:c>
    </x:row>
    <x:row r="20" ht="43" customHeight="1">
      <x:c r="A20" s="40" t="str">
        <x:v>Q015</x:v>
      </x:c>
      <x:c r="B20" s="41" t="str">
        <x:v>2026-09</x:v>
      </x:c>
      <x:c r="C20" s="41" t="str">
        <x:v>wearable pump suction too weak</x:v>
      </x:c>
      <x:c r="D20" s="99" t="n">
        <x:v>5100</x:v>
      </x:c>
      <x:c r="E20" s="102" t="n">
        <x:v>0.1</x:v>
      </x:c>
      <x:c r="F20" s="41" t="str">
        <x:v>意图：problem_solving；情感：negative_pain</x:v>
      </x:c>
      <x:c r="G20" s="41" t="str">
        <x:v>意图：problem_solving；情感：negative_pain</x:v>
      </x:c>
      <x:c r="H20" s="41" t="str">
        <x:v>命中</x:v>
      </x:c>
      <x:c r="I20" s="41" t="str">
        <x:v>命中</x:v>
      </x:c>
      <x:c r="J20" s="41" t="str">
        <x:v>通过</x:v>
      </x:c>
      <x:c r="K20" s="42" t="str">
        <x:v>通过</x:v>
      </x:c>
    </x:row>
    <x:row r="21" ht="43" customHeight="1">
      <x:c r="A21" s="40" t="str">
        <x:v>Q016</x:v>
      </x:c>
      <x:c r="B21" s="41" t="str">
        <x:v>2026-10</x:v>
      </x:c>
      <x:c r="C21" s="41" t="str">
        <x:v>hands free breast pump spill</x:v>
      </x:c>
      <x:c r="D21" s="99" t="n">
        <x:v>4800</x:v>
      </x:c>
      <x:c r="E21" s="102" t="n">
        <x:v>0.1</x:v>
      </x:c>
      <x:c r="F21" s="41" t="str">
        <x:v>意图：problem_solving；情感：negative_pain</x:v>
      </x:c>
      <x:c r="G21" s="41" t="str">
        <x:v>意图：problem_solving；情感：negative_pain</x:v>
      </x:c>
      <x:c r="H21" s="41" t="str">
        <x:v>命中</x:v>
      </x:c>
      <x:c r="I21" s="41" t="str">
        <x:v>命中</x:v>
      </x:c>
      <x:c r="J21" s="41" t="str">
        <x:v>通过</x:v>
      </x:c>
      <x:c r="K21" s="42" t="str">
        <x:v>通过</x:v>
      </x:c>
    </x:row>
    <x:row r="22" ht="43" customHeight="1">
      <x:c r="A22" s="40" t="str">
        <x:v>Q017</x:v>
      </x:c>
      <x:c r="B22" s="41" t="str">
        <x:v>2026-07</x:v>
      </x:c>
      <x:c r="C22" s="41" t="str">
        <x:v>wearable breast pump battery life</x:v>
      </x:c>
      <x:c r="D22" s="99" t="n">
        <x:v>3900</x:v>
      </x:c>
      <x:c r="E22" s="102" t="n">
        <x:v>0.24</x:v>
      </x:c>
      <x:c r="F22" s="41" t="str">
        <x:v>意图：attribute；情感：neutral</x:v>
      </x:c>
      <x:c r="G22" s="41" t="str">
        <x:v>意图：attribute；情感：neutral</x:v>
      </x:c>
      <x:c r="H22" s="41" t="str">
        <x:v>未命中</x:v>
      </x:c>
      <x:c r="I22" s="41" t="str">
        <x:v>未命中</x:v>
      </x:c>
      <x:c r="J22" s="41" t="str">
        <x:v>通过</x:v>
      </x:c>
      <x:c r="K22" s="42" t="str">
        <x:v>通过</x:v>
      </x:c>
    </x:row>
    <x:row r="23" ht="43" customHeight="1">
      <x:c r="A23" s="40" t="str">
        <x:v>Q018</x:v>
      </x:c>
      <x:c r="B23" s="41" t="str">
        <x:v>2026-08</x:v>
      </x:c>
      <x:c r="C23" s="41" t="str">
        <x:v>breast pump return policy</x:v>
      </x:c>
      <x:c r="D23" s="99" t="n">
        <x:v>2900</x:v>
      </x:c>
      <x:c r="E23" s="102" t="n">
        <x:v>0.18</x:v>
      </x:c>
      <x:c r="F23" s="41" t="str">
        <x:v>意图：navigational；情感：neutral</x:v>
      </x:c>
      <x:c r="G23" s="41" t="str">
        <x:v>意图：navigational；情感：neutral</x:v>
      </x:c>
      <x:c r="H23" s="41" t="str">
        <x:v>未命中</x:v>
      </x:c>
      <x:c r="I23" s="41" t="str">
        <x:v>未命中</x:v>
      </x:c>
      <x:c r="J23" s="41" t="str">
        <x:v>通过</x:v>
      </x:c>
      <x:c r="K23" s="42" t="str">
        <x:v>通过</x:v>
      </x:c>
    </x:row>
    <x:row r="24" ht="43" customHeight="1">
      <x:c r="A24" s="40" t="str">
        <x:v>Q019</x:v>
      </x:c>
      <x:c r="B24" s="41" t="str">
        <x:v>2026-09</x:v>
      </x:c>
      <x:c r="C24" s="41" t="str">
        <x:v>how to clean wearable breast pump</x:v>
      </x:c>
      <x:c r="D24" s="99" t="n">
        <x:v>3300</x:v>
      </x:c>
      <x:c r="E24" s="102" t="n">
        <x:v>0.21</x:v>
      </x:c>
      <x:c r="F24" s="41" t="str">
        <x:v>意图：functional；情感：neutral</x:v>
      </x:c>
      <x:c r="G24" s="41" t="str">
        <x:v>意图：functional；情感：neutral</x:v>
      </x:c>
      <x:c r="H24" s="41" t="str">
        <x:v>未命中</x:v>
      </x:c>
      <x:c r="I24" s="41" t="str">
        <x:v>未命中</x:v>
      </x:c>
      <x:c r="J24" s="41" t="str">
        <x:v>通过</x:v>
      </x:c>
      <x:c r="K24" s="42" t="str">
        <x:v>通过</x:v>
      </x:c>
    </x:row>
    <x:row r="25" ht="43" customHeight="1">
      <x:c r="A25" s="40" t="str">
        <x:v>Q020</x:v>
      </x:c>
      <x:c r="B25" s="41" t="str">
        <x:v>2026-10</x:v>
      </x:c>
      <x:c r="C25" s="41" t="str">
        <x:v>wearable breast pump how to use</x:v>
      </x:c>
      <x:c r="D25" s="99" t="n">
        <x:v>3700</x:v>
      </x:c>
      <x:c r="E25" s="102" t="n">
        <x:v>0.2</x:v>
      </x:c>
      <x:c r="F25" s="41" t="str">
        <x:v>意图：functional；情感：neutral</x:v>
      </x:c>
      <x:c r="G25" s="41" t="str">
        <x:v>意图：functional；情感：neutral</x:v>
      </x:c>
      <x:c r="H25" s="41" t="str">
        <x:v>未命中</x:v>
      </x:c>
      <x:c r="I25" s="41" t="str">
        <x:v>未命中</x:v>
      </x:c>
      <x:c r="J25" s="41" t="str">
        <x:v>通过</x:v>
      </x:c>
      <x:c r="K25" s="42" t="str">
        <x:v>通过</x:v>
      </x:c>
    </x:row>
    <x:row r="26" ht="43" customHeight="1">
      <x:c r="A26" s="40" t="str">
        <x:v>Q021</x:v>
      </x:c>
      <x:c r="B26" s="41" t="str">
        <x:v>2026-07</x:v>
      </x:c>
      <x:c r="C26" s="41" t="str">
        <x:v>quiet wearable breast pump night shift</x:v>
      </x:c>
      <x:c r="D26" s="99" t="n">
        <x:v>4300</x:v>
      </x:c>
      <x:c r="E26" s="102" t="n">
        <x:v>0.18</x:v>
      </x:c>
      <x:c r="F26" s="41" t="str">
        <x:v>意图：attribute；情感：neutral</x:v>
      </x:c>
      <x:c r="G26" s="41" t="str">
        <x:v>意图：attribute；情感：neutral</x:v>
      </x:c>
      <x:c r="H26" s="41" t="str">
        <x:v>未命中</x:v>
      </x:c>
      <x:c r="I26" s="41" t="str">
        <x:v>未命中</x:v>
      </x:c>
      <x:c r="J26" s="41" t="str">
        <x:v>通过</x:v>
      </x:c>
      <x:c r="K26" s="42" t="str">
        <x:v>通过</x:v>
      </x:c>
    </x:row>
    <x:row r="27" ht="43" customHeight="1">
      <x:c r="A27" s="40" t="str">
        <x:v>Q022</x:v>
      </x:c>
      <x:c r="B27" s="41" t="str">
        <x:v>2026-08</x:v>
      </x:c>
      <x:c r="C27" s="41" t="str">
        <x:v>silent breast pump meetings</x:v>
      </x:c>
      <x:c r="D27" s="99" t="n">
        <x:v>4100</x:v>
      </x:c>
      <x:c r="E27" s="102" t="n">
        <x:v>0.21</x:v>
      </x:c>
      <x:c r="F27" s="41" t="str">
        <x:v>意图：attribute；情感：neutral</x:v>
      </x:c>
      <x:c r="G27" s="41" t="str">
        <x:v>意图：attribute；情感：neutral</x:v>
      </x:c>
      <x:c r="H27" s="41" t="str">
        <x:v>未命中</x:v>
      </x:c>
      <x:c r="I27" s="41" t="str">
        <x:v>未命中</x:v>
      </x:c>
      <x:c r="J27" s="41" t="str">
        <x:v>通过</x:v>
      </x:c>
      <x:c r="K27" s="42" t="str">
        <x:v>通过</x:v>
      </x:c>
    </x:row>
    <x:row r="28" ht="43" customHeight="1">
      <x:c r="A28" s="40" t="str">
        <x:v>Q023</x:v>
      </x:c>
      <x:c r="B28" s="41" t="str">
        <x:v>2026-09</x:v>
      </x:c>
      <x:c r="C28" s="41" t="str">
        <x:v>wearable pump leaking while bending</x:v>
      </x:c>
      <x:c r="D28" s="99" t="n">
        <x:v>5200</x:v>
      </x:c>
      <x:c r="E28" s="102" t="n">
        <x:v>0.11</x:v>
      </x:c>
      <x:c r="F28" s="41" t="str">
        <x:v>意图：problem_solving；情感：negative_pain</x:v>
      </x:c>
      <x:c r="G28" s="41" t="str">
        <x:v>意图：problem_solving；情感：negative_pain</x:v>
      </x:c>
      <x:c r="H28" s="41" t="str">
        <x:v>命中</x:v>
      </x:c>
      <x:c r="I28" s="41" t="str">
        <x:v>命中</x:v>
      </x:c>
      <x:c r="J28" s="41" t="str">
        <x:v>通过</x:v>
      </x:c>
      <x:c r="K28" s="42" t="str">
        <x:v>通过</x:v>
      </x:c>
    </x:row>
    <x:row r="29" ht="43" customHeight="1">
      <x:c r="A29" s="40" t="str">
        <x:v>Q024</x:v>
      </x:c>
      <x:c r="B29" s="41" t="str">
        <x:v>2026-10</x:v>
      </x:c>
      <x:c r="C29" s="41" t="str">
        <x:v>breast pump flange pain after use</x:v>
      </x:c>
      <x:c r="D29" s="99" t="n">
        <x:v>4600</x:v>
      </x:c>
      <x:c r="E29" s="102" t="n">
        <x:v>0.12</x:v>
      </x:c>
      <x:c r="F29" s="41" t="str">
        <x:v>意图：problem_solving；情感：negative_pain</x:v>
      </x:c>
      <x:c r="G29" s="41" t="str">
        <x:v>意图：problem_solving；情感：negative_pain</x:v>
      </x:c>
      <x:c r="H29" s="41" t="str">
        <x:v>命中</x:v>
      </x:c>
      <x:c r="I29" s="41" t="str">
        <x:v>命中</x:v>
      </x:c>
      <x:c r="J29" s="41" t="str">
        <x:v>通过</x:v>
      </x:c>
      <x:c r="K29" s="42" t="str">
        <x:v>通过</x:v>
      </x:c>
    </x:row>
    <x:row r="30" ht="43" customHeight="1">
      <x:c r="A30" s="40" t="str">
        <x:v>Q025</x:v>
      </x:c>
      <x:c r="B30" s="41" t="str">
        <x:v>2026-07</x:v>
      </x:c>
      <x:c r="C30" s="41" t="str">
        <x:v>wearable pump uncomfortable fit</x:v>
      </x:c>
      <x:c r="D30" s="99" t="n">
        <x:v>4400</x:v>
      </x:c>
      <x:c r="E30" s="102" t="n">
        <x:v>0.14</x:v>
      </x:c>
      <x:c r="F30" s="41" t="str">
        <x:v>意图：problem_solving；情感：negative_pain</x:v>
      </x:c>
      <x:c r="G30" s="41" t="str">
        <x:v>意图：problem_solving；情感：negative_pain</x:v>
      </x:c>
      <x:c r="H30" s="41" t="str">
        <x:v>命中</x:v>
      </x:c>
      <x:c r="I30" s="41" t="str">
        <x:v>命中</x:v>
      </x:c>
      <x:c r="J30" s="41" t="str">
        <x:v>通过</x:v>
      </x:c>
      <x:c r="K30" s="42" t="str">
        <x:v>通过</x:v>
      </x:c>
    </x:row>
    <x:row r="31" ht="43" customHeight="1">
      <x:c r="A31" s="40" t="str">
        <x:v>Q026</x:v>
      </x:c>
      <x:c r="B31" s="41" t="str">
        <x:v>2026-08</x:v>
      </x:c>
      <x:c r="C31" s="41" t="str">
        <x:v>breast pump suction weak after 10 minutes</x:v>
      </x:c>
      <x:c r="D31" s="99" t="n">
        <x:v>4900</x:v>
      </x:c>
      <x:c r="E31" s="102" t="n">
        <x:v>0.1</x:v>
      </x:c>
      <x:c r="F31" s="41" t="str">
        <x:v>意图：problem_solving；情感：negative_pain</x:v>
      </x:c>
      <x:c r="G31" s="41" t="str">
        <x:v>意图：problem_solving；情感：negative_pain</x:v>
      </x:c>
      <x:c r="H31" s="41" t="str">
        <x:v>命中</x:v>
      </x:c>
      <x:c r="I31" s="41" t="str">
        <x:v>命中</x:v>
      </x:c>
      <x:c r="J31" s="41" t="str">
        <x:v>通过</x:v>
      </x:c>
      <x:c r="K31" s="42" t="str">
        <x:v>通过</x:v>
      </x:c>
    </x:row>
    <x:row r="32" ht="43" customHeight="1">
      <x:c r="A32" s="40" t="str">
        <x:v>Q027</x:v>
      </x:c>
      <x:c r="B32" s="41" t="str">
        <x:v>2026-09</x:v>
      </x:c>
      <x:c r="C32" s="41" t="str">
        <x:v>breast pump battery life long</x:v>
      </x:c>
      <x:c r="D32" s="99" t="n">
        <x:v>3900</x:v>
      </x:c>
      <x:c r="E32" s="102" t="n">
        <x:v>0.23</x:v>
      </x:c>
      <x:c r="F32" s="41" t="str">
        <x:v>意图：attribute；情感：neutral</x:v>
      </x:c>
      <x:c r="G32" s="41" t="str">
        <x:v>意图：attribute；情感：neutral</x:v>
      </x:c>
      <x:c r="H32" s="41" t="str">
        <x:v>未命中</x:v>
      </x:c>
      <x:c r="I32" s="41" t="str">
        <x:v>未命中</x:v>
      </x:c>
      <x:c r="J32" s="41" t="str">
        <x:v>通过</x:v>
      </x:c>
      <x:c r="K32" s="42" t="str">
        <x:v>通过</x:v>
      </x:c>
    </x:row>
    <x:row r="33" ht="43" customHeight="1">
      <x:c r="A33" s="40" t="str">
        <x:v>Q028</x:v>
      </x:c>
      <x:c r="B33" s="41" t="str">
        <x:v>2026-10</x:v>
      </x:c>
      <x:c r="C33" s="41" t="str">
        <x:v>wearable breast pump charge usb c</x:v>
      </x:c>
      <x:c r="D33" s="99" t="n">
        <x:v>3600</x:v>
      </x:c>
      <x:c r="E33" s="102" t="n">
        <x:v>0.22</x:v>
      </x:c>
      <x:c r="F33" s="41" t="str">
        <x:v>意图：attribute；情感：neutral</x:v>
      </x:c>
      <x:c r="G33" s="41" t="str">
        <x:v>意图：attribute；情感：neutral</x:v>
      </x:c>
      <x:c r="H33" s="41" t="str">
        <x:v>未命中</x:v>
      </x:c>
      <x:c r="I33" s="41" t="str">
        <x:v>未命中</x:v>
      </x:c>
      <x:c r="J33" s="41" t="str">
        <x:v>通过</x:v>
      </x:c>
      <x:c r="K33" s="42" t="str">
        <x:v>通过</x:v>
      </x:c>
    </x:row>
    <x:row r="34" ht="43" customHeight="1">
      <x:c r="A34" s="40" t="str">
        <x:v>Q029</x:v>
      </x:c>
      <x:c r="B34" s="41" t="str">
        <x:v>2026-07</x:v>
      </x:c>
      <x:c r="C34" s="41" t="str">
        <x:v>compare wearable breast pump models</x:v>
      </x:c>
      <x:c r="D34" s="99" t="n">
        <x:v>6100</x:v>
      </x:c>
      <x:c r="E34" s="102" t="n">
        <x:v>0.28</x:v>
      </x:c>
      <x:c r="F34" s="41" t="str">
        <x:v>意图：comparison；情感：positive_expectation</x:v>
      </x:c>
      <x:c r="G34" s="41" t="str">
        <x:v>意图：comparison；情感：positive_expectation</x:v>
      </x:c>
      <x:c r="H34" s="41" t="str">
        <x:v>未命中</x:v>
      </x:c>
      <x:c r="I34" s="41" t="str">
        <x:v>未命中</x:v>
      </x:c>
      <x:c r="J34" s="41" t="str">
        <x:v>通过</x:v>
      </x:c>
      <x:c r="K34" s="42" t="str">
        <x:v>通过</x:v>
      </x:c>
    </x:row>
    <x:row r="35" ht="43" customHeight="1">
      <x:c r="A35" s="40" t="str">
        <x:v>Q030</x:v>
      </x:c>
      <x:c r="B35" s="41" t="str">
        <x:v>2026-08</x:v>
      </x:c>
      <x:c r="C35" s="41" t="str">
        <x:v>wearable pump vs standard pump</x:v>
      </x:c>
      <x:c r="D35" s="99" t="n">
        <x:v>5800</x:v>
      </x:c>
      <x:c r="E35" s="102" t="n">
        <x:v>0.27</x:v>
      </x:c>
      <x:c r="F35" s="41" t="str">
        <x:v>意图：comparison；情感：positive_expectation</x:v>
      </x:c>
      <x:c r="G35" s="41" t="str">
        <x:v>意图：comparison；情感：positive_expectation</x:v>
      </x:c>
      <x:c r="H35" s="41" t="str">
        <x:v>未命中</x:v>
      </x:c>
      <x:c r="I35" s="41" t="str">
        <x:v>未命中</x:v>
      </x:c>
      <x:c r="J35" s="41" t="str">
        <x:v>通过</x:v>
      </x:c>
      <x:c r="K35" s="42" t="str">
        <x:v>通过</x:v>
      </x:c>
    </x:row>
    <x:row r="36" ht="43" customHeight="1">
      <x:c r="A36" s="40" t="str">
        <x:v>Q031</x:v>
      </x:c>
      <x:c r="B36" s="41" t="str">
        <x:v>2026-09</x:v>
      </x:c>
      <x:c r="C36" s="41" t="str">
        <x:v>breast pump replacement parts</x:v>
      </x:c>
      <x:c r="D36" s="99" t="n">
        <x:v>3100</x:v>
      </x:c>
      <x:c r="E36" s="102" t="n">
        <x:v>0.19</x:v>
      </x:c>
      <x:c r="F36" s="41" t="str">
        <x:v>意图：functional；情感：neutral</x:v>
      </x:c>
      <x:c r="G36" s="41" t="str">
        <x:v>意图：functional；情感：neutral</x:v>
      </x:c>
      <x:c r="H36" s="41" t="str">
        <x:v>未命中</x:v>
      </x:c>
      <x:c r="I36" s="41" t="str">
        <x:v>未命中</x:v>
      </x:c>
      <x:c r="J36" s="41" t="str">
        <x:v>通过</x:v>
      </x:c>
      <x:c r="K36" s="42" t="str">
        <x:v>通过</x:v>
      </x:c>
    </x:row>
    <x:row r="37" ht="43" customHeight="1">
      <x:c r="A37" s="40" t="str">
        <x:v>Q032</x:v>
      </x:c>
      <x:c r="B37" s="41" t="str">
        <x:v>2026-10</x:v>
      </x:c>
      <x:c r="C37" s="41" t="str">
        <x:v>breast pump return policy</x:v>
      </x:c>
      <x:c r="D37" s="99" t="n">
        <x:v>3000</x:v>
      </x:c>
      <x:c r="E37" s="102" t="n">
        <x:v>0.17</x:v>
      </x:c>
      <x:c r="F37" s="41" t="str">
        <x:v>意图：navigational；情感：neutral</x:v>
      </x:c>
      <x:c r="G37" s="41" t="str">
        <x:v>意图：navigational；情感：neutral</x:v>
      </x:c>
      <x:c r="H37" s="41" t="str">
        <x:v>未命中</x:v>
      </x:c>
      <x:c r="I37" s="41" t="str">
        <x:v>未命中</x:v>
      </x:c>
      <x:c r="J37" s="41" t="str">
        <x:v>通过</x:v>
      </x:c>
      <x:c r="K37" s="42" t="str">
        <x:v>通过</x:v>
      </x:c>
    </x:row>
    <x:row r="38" ht="43" customHeight="1">
      <x:c r="A38" s="40" t="str">
        <x:v>Q033</x:v>
      </x:c>
      <x:c r="B38" s="41" t="str">
        <x:v>2026-07</x:v>
      </x:c>
      <x:c r="C38" s="41" t="str">
        <x:v>portable breast pump size guide</x:v>
      </x:c>
      <x:c r="D38" s="99" t="n">
        <x:v>4200</x:v>
      </x:c>
      <x:c r="E38" s="102" t="n">
        <x:v>0.2</x:v>
      </x:c>
      <x:c r="F38" s="41" t="str">
        <x:v>意图：attribute；情感：neutral</x:v>
      </x:c>
      <x:c r="G38" s="41" t="str">
        <x:v>意图：attribute；情感：neutral</x:v>
      </x:c>
      <x:c r="H38" s="41" t="str">
        <x:v>未命中</x:v>
      </x:c>
      <x:c r="I38" s="41" t="str">
        <x:v>未命中</x:v>
      </x:c>
      <x:c r="J38" s="41" t="str">
        <x:v>通过</x:v>
      </x:c>
      <x:c r="K38" s="42" t="str">
        <x:v>通过</x:v>
      </x:c>
    </x:row>
    <x:row r="39" ht="43" customHeight="1">
      <x:c r="A39" s="40" t="str">
        <x:v>Q034</x:v>
      </x:c>
      <x:c r="B39" s="41" t="str">
        <x:v>2026-08</x:v>
      </x:c>
      <x:c r="C39" s="41" t="str">
        <x:v>hands free breast pump office quiet</x:v>
      </x:c>
      <x:c r="D39" s="99" t="n">
        <x:v>5100</x:v>
      </x:c>
      <x:c r="E39" s="102" t="n">
        <x:v>0.24</x:v>
      </x:c>
      <x:c r="F39" s="41" t="str">
        <x:v>意图：attribute；情感：neutral</x:v>
      </x:c>
      <x:c r="G39" s="41" t="str">
        <x:v>意图：attribute；情感：neutral</x:v>
      </x:c>
      <x:c r="H39" s="41" t="str">
        <x:v>未命中</x:v>
      </x:c>
      <x:c r="I39" s="41" t="str">
        <x:v>未命中</x:v>
      </x:c>
      <x:c r="J39" s="41" t="str">
        <x:v>通过</x:v>
      </x:c>
      <x:c r="K39" s="42" t="str">
        <x:v>通过</x:v>
      </x:c>
    </x:row>
    <x:row r="40" ht="43" customHeight="1">
      <x:c r="A40" s="40" t="str">
        <x:v>Q035</x:v>
      </x:c>
      <x:c r="B40" s="41" t="str">
        <x:v>2026-09</x:v>
      </x:c>
      <x:c r="C40" s="41" t="str">
        <x:v>wearable breast pump sound too loud</x:v>
      </x:c>
      <x:c r="D40" s="99" t="n">
        <x:v>4700</x:v>
      </x:c>
      <x:c r="E40" s="102" t="n">
        <x:v>0.11</x:v>
      </x:c>
      <x:c r="F40" s="41" t="str">
        <x:v>意图：problem_solving；情感：negative_pain</x:v>
      </x:c>
      <x:c r="G40" s="41" t="str">
        <x:v>意图：problem_solving；情感：negative_pain</x:v>
      </x:c>
      <x:c r="H40" s="41" t="str">
        <x:v>命中</x:v>
      </x:c>
      <x:c r="I40" s="41" t="str">
        <x:v>命中</x:v>
      </x:c>
      <x:c r="J40" s="41" t="str">
        <x:v>通过</x:v>
      </x:c>
      <x:c r="K40" s="42" t="str">
        <x:v>通过</x:v>
      </x:c>
    </x:row>
    <x:row r="41" ht="43" customHeight="1">
      <x:c r="A41" s="40" t="str">
        <x:v>Q036</x:v>
      </x:c>
      <x:c r="B41" s="41" t="str">
        <x:v>2026-10</x:v>
      </x:c>
      <x:c r="C41" s="41" t="str">
        <x:v>noisy wearable breast pump</x:v>
      </x:c>
      <x:c r="D41" s="99" t="n">
        <x:v>4500</x:v>
      </x:c>
      <x:c r="E41" s="102" t="n">
        <x:v>0.13</x:v>
      </x:c>
      <x:c r="F41" s="41" t="str">
        <x:v>意图：problem_solving；情感：negative_pain</x:v>
      </x:c>
      <x:c r="G41" s="41" t="str">
        <x:v>意图：problem_solving；情感：negative_pain</x:v>
      </x:c>
      <x:c r="H41" s="41" t="str">
        <x:v>命中</x:v>
      </x:c>
      <x:c r="I41" s="41" t="str">
        <x:v>命中</x:v>
      </x:c>
      <x:c r="J41" s="41" t="str">
        <x:v>通过</x:v>
      </x:c>
      <x:c r="K41" s="42" t="str">
        <x:v>通过</x:v>
      </x:c>
    </x:row>
    <x:row r="42" ht="43" customHeight="1">
      <x:c r="A42" s="40" t="str">
        <x:v>Q037</x:v>
      </x:c>
      <x:c r="B42" s="41" t="str">
        <x:v>2026-07</x:v>
      </x:c>
      <x:c r="C42" s="41" t="str">
        <x:v>hands free pump spill while walking</x:v>
      </x:c>
      <x:c r="D42" s="99" t="n">
        <x:v>4300</x:v>
      </x:c>
      <x:c r="E42" s="102" t="n">
        <x:v>0.12</x:v>
      </x:c>
      <x:c r="F42" s="41" t="str">
        <x:v>意图：problem_solving；情感：negative_pain</x:v>
      </x:c>
      <x:c r="G42" s="41" t="str">
        <x:v>意图：problem_solving；情感：negative_pain</x:v>
      </x:c>
      <x:c r="H42" s="41" t="str">
        <x:v>命中</x:v>
      </x:c>
      <x:c r="I42" s="41" t="str">
        <x:v>命中</x:v>
      </x:c>
      <x:c r="J42" s="41" t="str">
        <x:v>通过</x:v>
      </x:c>
      <x:c r="K42" s="42" t="str">
        <x:v>通过</x:v>
      </x:c>
    </x:row>
    <x:row r="43" ht="43" customHeight="1">
      <x:c r="A43" s="40" t="str">
        <x:v>Q038</x:v>
      </x:c>
      <x:c r="B43" s="41" t="str">
        <x:v>2026-08</x:v>
      </x:c>
      <x:c r="C43" s="41" t="str">
        <x:v>breast pump leak after bending</x:v>
      </x:c>
      <x:c r="D43" s="99" t="n">
        <x:v>5000</x:v>
      </x:c>
      <x:c r="E43" s="102" t="n">
        <x:v>0.11</x:v>
      </x:c>
      <x:c r="F43" s="41" t="str">
        <x:v>意图：problem_solving；情感：negative_pain</x:v>
      </x:c>
      <x:c r="G43" s="41" t="str">
        <x:v>意图：problem_solving；情感：negative_pain</x:v>
      </x:c>
      <x:c r="H43" s="41" t="str">
        <x:v>命中</x:v>
      </x:c>
      <x:c r="I43" s="41" t="str">
        <x:v>命中</x:v>
      </x:c>
      <x:c r="J43" s="41" t="str">
        <x:v>通过</x:v>
      </x:c>
      <x:c r="K43" s="42" t="str">
        <x:v>通过</x:v>
      </x:c>
    </x:row>
    <x:row r="44" ht="43" customHeight="1">
      <x:c r="A44" s="40" t="str">
        <x:v>Q039</x:v>
      </x:c>
      <x:c r="B44" s="41" t="str">
        <x:v>2026-09</x:v>
      </x:c>
      <x:c r="C44" s="41" t="str">
        <x:v>best quiet wearable breast pump</x:v>
      </x:c>
      <x:c r="D44" s="99" t="n">
        <x:v>7000</x:v>
      </x:c>
      <x:c r="E44" s="102" t="n">
        <x:v>0.33</x:v>
      </x:c>
      <x:c r="F44" s="41" t="str">
        <x:v>意图：comparison；情感：positive_expectation</x:v>
      </x:c>
      <x:c r="G44" s="41" t="str">
        <x:v>意图：comparison；情感：positive_expectation</x:v>
      </x:c>
      <x:c r="H44" s="41" t="str">
        <x:v>未命中</x:v>
      </x:c>
      <x:c r="I44" s="41" t="str">
        <x:v>未命中</x:v>
      </x:c>
      <x:c r="J44" s="41" t="str">
        <x:v>通过</x:v>
      </x:c>
      <x:c r="K44" s="42" t="str">
        <x:v>通过</x:v>
      </x:c>
    </x:row>
    <x:row r="45" ht="43" customHeight="1">
      <x:c r="A45" s="40" t="str">
        <x:v>Q040</x:v>
      </x:c>
      <x:c r="B45" s="41" t="str">
        <x:v>2026-10</x:v>
      </x:c>
      <x:c r="C45" s="41" t="str">
        <x:v>wearable breast pump cleaning instructions</x:v>
      </x:c>
      <x:c r="D45" s="99" t="n">
        <x:v>3400</x:v>
      </x:c>
      <x:c r="E45" s="102" t="n">
        <x:v>0.2</x:v>
      </x:c>
      <x:c r="F45" s="41" t="str">
        <x:v>意图：functional；情感：neutral</x:v>
      </x:c>
      <x:c r="G45" s="41" t="str">
        <x:v>意图：functional；情感：neutral</x:v>
      </x:c>
      <x:c r="H45" s="41" t="str">
        <x:v>未命中</x:v>
      </x:c>
      <x:c r="I45" s="41" t="str">
        <x:v>未命中</x:v>
      </x:c>
      <x:c r="J45" s="41" t="str">
        <x:v>通过</x:v>
      </x:c>
      <x:c r="K45" s="42" t="str">
        <x:v>通过</x:v>
      </x:c>
    </x:row>
    <x:row r="46" ht="43" customHeight="1">
      <x:c r="A46" s="40" t="str">
        <x:v>Q041</x:v>
      </x:c>
      <x:c r="B46" s="41" t="str">
        <x:v>2026-07</x:v>
      </x:c>
      <x:c r="C46" s="41" t="str">
        <x:v>electric breast pump double</x:v>
      </x:c>
      <x:c r="D46" s="99" t="n">
        <x:v>5200</x:v>
      </x:c>
      <x:c r="E46" s="102" t="n">
        <x:v>0.22</x:v>
      </x:c>
      <x:c r="F46" s="41" t="str">
        <x:v>意图：attribute；情感：neutral</x:v>
      </x:c>
      <x:c r="G46" s="41" t="str">
        <x:v>意图：attribute；情感：neutral</x:v>
      </x:c>
      <x:c r="H46" s="41" t="str">
        <x:v>未命中</x:v>
      </x:c>
      <x:c r="I46" s="41" t="str">
        <x:v>未命中</x:v>
      </x:c>
      <x:c r="J46" s="41" t="str">
        <x:v>通过</x:v>
      </x:c>
      <x:c r="K46" s="42" t="str">
        <x:v>通过</x:v>
      </x:c>
    </x:row>
    <x:row r="47" ht="43" customHeight="1">
      <x:c r="A47" s="40" t="str">
        <x:v>Q042</x:v>
      </x:c>
      <x:c r="B47" s="41" t="str">
        <x:v>2026-08</x:v>
      </x:c>
      <x:c r="C47" s="41" t="str">
        <x:v>breast pump shipping status</x:v>
      </x:c>
      <x:c r="D47" s="99" t="n">
        <x:v>2800</x:v>
      </x:c>
      <x:c r="E47" s="102" t="n">
        <x:v>0.16</x:v>
      </x:c>
      <x:c r="F47" s="41" t="str">
        <x:v>意图：navigational；情感：neutral</x:v>
      </x:c>
      <x:c r="G47" s="41" t="str">
        <x:v>意图：navigational；情感：neutral</x:v>
      </x:c>
      <x:c r="H47" s="41" t="str">
        <x:v>未命中</x:v>
      </x:c>
      <x:c r="I47" s="41" t="str">
        <x:v>未命中</x:v>
      </x:c>
      <x:c r="J47" s="41" t="str">
        <x:v>通过</x:v>
      </x:c>
      <x:c r="K47" s="42" t="str">
        <x:v>通过</x:v>
      </x:c>
    </x:row>
    <x:row r="48" ht="43" customHeight="1">
      <x:c r="A48" s="40" t="str">
        <x:v>Q043</x:v>
      </x:c>
      <x:c r="B48" s="41" t="str">
        <x:v>2026-09</x:v>
      </x:c>
      <x:c r="C48" s="41" t="str">
        <x:v>wearable breast pump breast shield size</x:v>
      </x:c>
      <x:c r="D48" s="99" t="n">
        <x:v>3900</x:v>
      </x:c>
      <x:c r="E48" s="102" t="n">
        <x:v>0.2</x:v>
      </x:c>
      <x:c r="F48" s="41" t="str">
        <x:v>意图：attribute；情感：neutral</x:v>
      </x:c>
      <x:c r="G48" s="41" t="str">
        <x:v>意图：attribute；情感：neutral</x:v>
      </x:c>
      <x:c r="H48" s="41" t="str">
        <x:v>未命中</x:v>
      </x:c>
      <x:c r="I48" s="41" t="str">
        <x:v>未命中</x:v>
      </x:c>
      <x:c r="J48" s="41" t="str">
        <x:v>通过</x:v>
      </x:c>
      <x:c r="K48" s="42" t="str">
        <x:v>通过</x:v>
      </x:c>
    </x:row>
    <x:row r="49" ht="43" customHeight="1">
      <x:c r="A49" s="40" t="str">
        <x:v>Q044</x:v>
      </x:c>
      <x:c r="B49" s="41" t="str">
        <x:v>2026-10</x:v>
      </x:c>
      <x:c r="C49" s="41" t="str">
        <x:v>painful breast pump flange</x:v>
      </x:c>
      <x:c r="D49" s="99" t="n">
        <x:v>4700</x:v>
      </x:c>
      <x:c r="E49" s="102" t="n">
        <x:v>0.12</x:v>
      </x:c>
      <x:c r="F49" s="41" t="str">
        <x:v>意图：problem_solving；情感：negative_pain</x:v>
      </x:c>
      <x:c r="G49" s="41" t="str">
        <x:v>意图：problem_solving；情感：negative_pain</x:v>
      </x:c>
      <x:c r="H49" s="41" t="str">
        <x:v>命中</x:v>
      </x:c>
      <x:c r="I49" s="41" t="str">
        <x:v>命中</x:v>
      </x:c>
      <x:c r="J49" s="41" t="str">
        <x:v>通过</x:v>
      </x:c>
      <x:c r="K49" s="42" t="str">
        <x:v>通过</x:v>
      </x:c>
    </x:row>
    <x:row r="50" ht="43" customHeight="1">
      <x:c r="A50" s="40" t="str">
        <x:v>Q045</x:v>
      </x:c>
      <x:c r="B50" s="41" t="str">
        <x:v>2026-07</x:v>
      </x:c>
      <x:c r="C50" s="41" t="str">
        <x:v>breast pump strong suction</x:v>
      </x:c>
      <x:c r="D50" s="99" t="n">
        <x:v>4400</x:v>
      </x:c>
      <x:c r="E50" s="102" t="n">
        <x:v>0.24</x:v>
      </x:c>
      <x:c r="F50" s="41" t="str">
        <x:v>意图：attribute；情感：neutral</x:v>
      </x:c>
      <x:c r="G50" s="41" t="str">
        <x:v>意图：attribute；情感：neutral</x:v>
      </x:c>
      <x:c r="H50" s="41" t="str">
        <x:v>未命中</x:v>
      </x:c>
      <x:c r="I50" s="41" t="str">
        <x:v>未命中</x:v>
      </x:c>
      <x:c r="J50" s="41" t="str">
        <x:v>通过</x:v>
      </x:c>
      <x:c r="K50" s="42" t="str">
        <x:v>通过</x:v>
      </x:c>
    </x:row>
    <x:row r="51" ht="43" customHeight="1">
      <x:c r="A51" s="40" t="str">
        <x:v>Q046</x:v>
      </x:c>
      <x:c r="B51" s="41" t="str">
        <x:v>2026-08</x:v>
      </x:c>
      <x:c r="C51" s="41" t="str">
        <x:v>wearable breast pump battery drains fast</x:v>
      </x:c>
      <x:c r="D51" s="99" t="n">
        <x:v>4600</x:v>
      </x:c>
      <x:c r="E51" s="102" t="n">
        <x:v>0.15</x:v>
      </x:c>
      <x:c r="F51" s="41" t="str">
        <x:v>意图：problem_solving；情感：negative_pain</x:v>
      </x:c>
      <x:c r="G51" s="41" t="str">
        <x:v>意图：problem_solving；情感：negative_pain</x:v>
      </x:c>
      <x:c r="H51" s="41" t="str">
        <x:v>命中</x:v>
      </x:c>
      <x:c r="I51" s="41" t="str">
        <x:v>命中</x:v>
      </x:c>
      <x:c r="J51" s="41" t="str">
        <x:v>通过</x:v>
      </x:c>
      <x:c r="K51" s="42" t="str">
        <x:v>通过</x:v>
      </x:c>
    </x:row>
    <x:row r="52" ht="43" customHeight="1">
      <x:c r="A52" s="40" t="str">
        <x:v>Q047</x:v>
      </x:c>
      <x:c r="B52" s="41" t="str">
        <x:v>2026-09</x:v>
      </x:c>
      <x:c r="C52" s="41" t="str">
        <x:v>how to sterilize wearable pump</x:v>
      </x:c>
      <x:c r="D52" s="99" t="n">
        <x:v>3200</x:v>
      </x:c>
      <x:c r="E52" s="102" t="n">
        <x:v>0.19</x:v>
      </x:c>
      <x:c r="F52" s="41" t="str">
        <x:v>意图：functional；情感：neutral</x:v>
      </x:c>
      <x:c r="G52" s="41" t="str">
        <x:v>意图：functional；情感：neutral</x:v>
      </x:c>
      <x:c r="H52" s="41" t="str">
        <x:v>未命中</x:v>
      </x:c>
      <x:c r="I52" s="41" t="str">
        <x:v>未命中</x:v>
      </x:c>
      <x:c r="J52" s="41" t="str">
        <x:v>通过</x:v>
      </x:c>
      <x:c r="K52" s="42" t="str">
        <x:v>通过</x:v>
      </x:c>
    </x:row>
    <x:row r="53" ht="43" customHeight="1">
      <x:c r="A53" s="43" t="str">
        <x:v>Q048</x:v>
      </x:c>
      <x:c r="B53" s="44" t="str">
        <x:v>2026-10</x:v>
      </x:c>
      <x:c r="C53" s="44" t="str">
        <x:v>wearable breast pump customer service</x:v>
      </x:c>
      <x:c r="D53" s="100" t="n">
        <x:v>2700</x:v>
      </x:c>
      <x:c r="E53" s="103" t="n">
        <x:v>0.18</x:v>
      </x:c>
      <x:c r="F53" s="44" t="str">
        <x:v>意图：navigational；情感：neutral</x:v>
      </x:c>
      <x:c r="G53" s="44" t="str">
        <x:v>意图：navigational；情感：neutral</x:v>
      </x:c>
      <x:c r="H53" s="44" t="str">
        <x:v>未命中</x:v>
      </x:c>
      <x:c r="I53" s="44" t="str">
        <x:v>未命中</x:v>
      </x:c>
      <x:c r="J53" s="44" t="str">
        <x:v>通过</x:v>
      </x:c>
      <x:c r="K53" s="45" t="str">
        <x:v>通过</x:v>
      </x:c>
    </x:row>
    <x:row r="56" ht="40" customHeight="1">
      <x:c r="A56" s="95" t="str">
        <x:v>当前结论</x:v>
      </x:c>
      <x:c r="B56" s="96" t="str">
        <x:v>意图/情感 48/48；规则边界 48/48。当前候选可进入独立盲测，但不能据此接入真实搜索或下业务结论。</x:v>
      </x:c>
      <x:c r="C56" s="96" t="str"/>
      <x:c r="D56" s="96" t="str"/>
      <x:c r="E56" s="96" t="str"/>
      <x:c r="F56" s="96" t="str"/>
      <x:c r="G56" s="96" t="str"/>
      <x:c r="H56" s="96" t="str"/>
      <x:c r="I56" s="96" t="str"/>
      <x:c r="J56" s="96" t="str"/>
      <x:c r="K56" s="97" t="str"/>
    </x:row>
  </x:sheetData>
  <x:conditionalFormatting sqref="J6:K53">
    <x:cfRule type="containsText" dxfId="3" priority="1" operator="containsText" text="通过"/>
    <x:cfRule type="containsText" dxfId="4" priority="2" operator="containsText" text="未通过"/>
  </x:conditionalFormatting>
  <x:conditionalFormatting sqref="H6:I53">
    <x:cfRule type="containsText" dxfId="5" priority="3" operator="containsText" text="命中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B2527"/>
  </x:sheetPr>
  <x:sheetViews>
    <x:sheetView showGridLines="0" workbookViewId="0"/>
  </x:sheetViews>
  <x:sheetFormatPr defaultRowHeight="15"/>
  <x:cols>
    <x:col min="1" max="1" width="29" hidden="0" customWidth="1"/>
    <x:col min="2" max="2" width="58" hidden="0" customWidth="1"/>
    <x:col min="3" max="3" width="58" hidden="0" customWidth="1"/>
  </x:cols>
  <x:sheetData>
    <x:row r="2">
      <x:c r="A2" s="1" t="str">
        <x:v>复测证据与下一道门槛</x:v>
      </x:c>
    </x:row>
    <x:row r="3" ht="30" customHeight="1">
      <x:c r="A3" s="3" t="str">
        <x:v>区分：原始失败基线、候选适配器当前结果、独立性风险与真实样本准入条件。</x:v>
      </x:c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30" customHeight="1">
      <x:c r="A5" s="16" t="str">
        <x:v>检查项</x:v>
      </x:c>
      <x:c r="B5" s="17" t="str">
        <x:v>本轮可确认事实</x:v>
      </x:c>
      <x:c r="C5" s="18" t="str">
        <x:v>状态</x:v>
      </x:c>
    </x:row>
    <x:row r="6" ht="42" customHeight="1">
      <x:c r="A6" s="37" t="str">
        <x:v>D01 逐条回溯</x:v>
      </x:c>
      <x:c r="B6" s="38" t="str">
        <x:v>每条评论输出保留唯一 review_id。</x:v>
      </x:c>
      <x:c r="C6" s="39" t="str">
        <x:v>通过</x:v>
      </x:c>
    </x:row>
    <x:row r="7" ht="42" customHeight="1">
      <x:c r="A7" s="40" t="str">
        <x:v>D01 保留未知</x:v>
      </x:c>
      <x:c r="B7" s="41" t="str">
        <x:v>防漏、会话记录与应用主题未被强行归类。</x:v>
      </x:c>
      <x:c r="C7" s="42" t="str">
        <x:v>通过</x:v>
      </x:c>
    </x:row>
    <x:row r="8" ht="42" customHeight="1">
      <x:c r="A8" s="40" t="str">
        <x:v>D02 逐条回溯</x:v>
      </x:c>
      <x:c r="B8" s="41" t="str">
        <x:v>每条搜索输出保留唯一 query_id、月份与合成量级。</x:v>
      </x:c>
      <x:c r="C8" s="42" t="str">
        <x:v>通过</x:v>
      </x:c>
    </x:row>
    <x:row r="9" ht="42" customHeight="1">
      <x:c r="A9" s="40" t="str">
        <x:v>D02 规则边界</x:v>
      </x:c>
      <x:c r="B9" s="41" t="str">
        <x:v>非问题表达和低量级问题没有被静默写成高优先级机会。</x:v>
      </x:c>
      <x:c r="C9" s="42" t="str">
        <x:v>通过</x:v>
      </x:c>
    </x:row>
    <x:row r="10" ht="42" customHeight="1">
      <x:c r="A10" s="43" t="str">
        <x:v>原始实现保持只读</x:v>
      </x:c>
      <x:c r="B10" s="44" t="str">
        <x:v>本轮只载入本地 candidate adapter；原始路径仅记录指纹作失败基线。</x:v>
      </x:c>
      <x:c r="C10" s="45" t="str">
        <x:v>通过</x:v>
      </x:c>
    </x:row>
    <x:row r="13" ht="42" customHeight="1">
      <x:c r="A13" s="16" t="str">
        <x:v>对象</x:v>
      </x:c>
      <x:c r="B13" s="17" t="str">
        <x:v>只读原始基线</x:v>
      </x:c>
      <x:c r="C13" s="18" t="str">
        <x:v>本地候选适配器</x:v>
      </x:c>
    </x:row>
    <x:row r="14" ht="42" customHeight="1">
      <x:c r="A14" s="37" t="str">
        <x:v>D01</x:v>
      </x:c>
      <x:c r="B14" s="38" t="str">
        <x:v>cb724d3de888；Trial 01 14/24（58.3%）</x:v>
      </x:c>
      <x:c r="C14" s="39" t="str">
        <x:v>6acf500aa971；局部窗口、局部否定、未知保留</x:v>
      </x:c>
    </x:row>
    <x:row r="15" ht="42" customHeight="1">
      <x:c r="A15" s="43" t="str">
        <x:v>D02</x:v>
      </x:c>
      <x:c r="B15" s="44" t="str">
        <x:v>922d6ecec721；Trial 01 15/18（83.3%）</x:v>
      </x:c>
      <x:c r="C15" s="45" t="str">
        <x:v>2ff3be670626；显式意图优先级、规则边界</x:v>
      </x:c>
    </x:row>
    <x:row r="18" ht="30" customHeight="1">
      <x:c r="A18" s="16" t="str">
        <x:v>独立盲测前的工作</x:v>
      </x:c>
      <x:c r="B18" s="17" t="str">
        <x:v>为什么要做</x:v>
      </x:c>
      <x:c r="C18" s="18" t="str">
        <x:v>完成判据</x:v>
      </x:c>
    </x:row>
    <x:row r="19" ht="52" customHeight="1">
      <x:c r="A19" s="37" t="str">
        <x:v>分离样本与实现责任</x:v>
      </x:c>
      <x:c r="B19" s="38" t="str">
        <x:v>当前样本和候选实现来自同一轮设计，存在过拟合风险。</x:v>
      </x:c>
      <x:c r="C19" s="39" t="str">
        <x:v>未参与本轮实现和标注的人定义新的独立盲测集。</x:v>
      </x:c>
    </x:row>
    <x:row r="20" ht="52" customHeight="1">
      <x:c r="A20" s="40" t="str">
        <x:v>复测两类语义质量</x:v>
      </x:c>
      <x:c r="B20" s="41" t="str">
        <x:v>分别防止评论局部语义误挂和搜索意图误归。</x:v>
      </x:c>
      <x:c r="C20" s="42" t="str">
        <x:v>D01 方面/情感、D02 意图/情感及规则边界都达到预设门槛。</x:v>
      </x:c>
    </x:row>
    <x:row r="21" ht="52" customHeight="1">
      <x:c r="A21" s="40" t="str">
        <x:v>设计真实样本数据合同</x:v>
      </x:c>
      <x:c r="B21" s="41" t="str">
        <x:v>真实数据的范围、合法性和质量不能靠规则通过来推定。</x:v>
      </x:c>
      <x:c r="C21" s="42" t="str">
        <x:v>说明授权、脱敏、来源、市场、语言、时间窗、去重和抽样规则。</x:v>
      </x:c>
    </x:row>
    <x:row r="22" ht="52" customHeight="1">
      <x:c r="A22" s="43" t="str">
        <x:v>进入 C-018 证据链</x:v>
      </x:c>
      <x:c r="B22" s="44" t="str">
        <x:v>真实记录需要同时保留支持、反证、未知与适用范围。</x:v>
      </x:c>
      <x:c r="C22" s="45" t="str">
        <x:v>不直接跳到产品定义、投入、发布或任何业务动作。</x:v>
      </x:c>
    </x:row>
    <x:row r="25" ht="44" customHeight="1">
      <x:c r="A25" s="84" t="str">
        <x:v>当前边界</x:v>
      </x:c>
      <x:c r="B25" s="85" t="str">
        <x:v>所有记录均为合成，适配器为本地候选，独立性风险尚未解除。</x:v>
      </x:c>
      <x:c r="C25" s="86" t="str">
        <x:v>因此本轮只允许进入独立盲测，不允许接入真实样本。</x:v>
      </x:c>
    </x:row>
  </x:sheetData>
  <x:conditionalFormatting sqref="C6:C10">
    <x:cfRule type="containsText" dxfId="6" priority="1" operator="containsText" text="通过"/>
  </x:conditionalFormatting>
  <x:pageMargins left="0.7" right="0.7" top="0.75" bottom="0.75" header="0.3" footer="0.3"/>
</x:worksheet>
</file>