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b659bdc78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跑总览" sheetId="1" r:id="R614e913de9f54376"/>
    <x:sheet xmlns:r="http://schemas.openxmlformats.org/officeDocument/2006/relationships" name="D01 语义复核" sheetId="2" r:id="Ra6b8b01966414e46"/>
    <x:sheet xmlns:r="http://schemas.openxmlformats.org/officeDocument/2006/relationships" name="D02 语义复核" sheetId="3" r:id="R024ee1c7423b4d48"/>
    <x:sheet xmlns:r="http://schemas.openxmlformats.org/officeDocument/2006/relationships" name="证据链与下一关" sheetId="4" r:id="R8402388d774e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"/>
    <x:numFmt numFmtId="202" formatCode="yyyy-mm-dd"/>
    <x:numFmt numFmtId="203" formatCode="#,##0"/>
    <x:numFmt numFmtId="204" formatCode="0%"/>
  </x:numFmts>
  <x:fonts count="11">
    <x:font>
      <x:sz val="11"/>
      <x:name val="Carlito"/>
    </x:font>
    <x:font>
      <x:b/>
      <x:sz val="16"/>
      <x:color rgb="FF2B2527"/>
      <x:name val="Arial"/>
    </x:font>
    <x:font>
      <x:i/>
      <x:sz val="10"/>
      <x:color rgb="FF6F6362"/>
      <x:name val="Arial"/>
    </x:font>
    <x:font>
      <x:b/>
      <x:sz val="10"/>
      <x:color rgb="FFFFFFFF"/>
      <x:name val="Arial"/>
    </x:font>
    <x:font>
      <x:b/>
      <x:sz val="10"/>
      <x:color rgb="FF2B2527"/>
      <x:name val="Arial"/>
    </x:font>
    <x:font>
      <x:sz val="10"/>
      <x:color rgb="FF2B2527"/>
      <x:name val="Arial"/>
    </x:font>
    <x:font>
      <x:b/>
      <x:sz val="11"/>
      <x:color rgb="FF2B2527"/>
      <x:name val="Arial"/>
    </x:font>
    <x:font>
      <x:b/>
      <x:sz val="10"/>
      <x:color rgb="FF7A5D19"/>
      <x:name val="Arial"/>
    </x:font>
    <x:font>
      <x:sz val="10"/>
      <x:color rgb="FF7A5D19"/>
      <x:name val="Arial"/>
    </x:font>
    <x:font>
      <x:b/>
      <x:sz val="10"/>
      <x:color rgb="FF9D3F3A"/>
      <x:name val="Arial"/>
    </x:font>
    <x:font>
      <x:sz val="10"/>
      <x:color rgb="FF9D3F3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3272A"/>
      </x:patternFill>
    </x:fill>
    <x:fill>
      <x:patternFill patternType="solid">
        <x:fgColor rgb="FFFBF8F5"/>
      </x:patternFill>
    </x:fill>
    <x:fill>
      <x:patternFill patternType="solid">
        <x:fgColor rgb="FFFFF8DF"/>
      </x:patternFill>
    </x:fill>
    <x:fill>
      <x:patternFill patternType="solid">
        <x:fgColor rgb="FFFDEEEE"/>
      </x:patternFill>
    </x:fill>
  </x:fills>
  <x:borders count="1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E1D8D3"/>
      </x:left>
      <x:right style="thin">
        <x:color rgb="FFE1D8D3"/>
      </x:right>
      <x:top style="thin">
        <x:color rgb="FFE1D8D3"/>
      </x:top>
      <x:bottom style="thin">
        <x:color rgb="FFE1D8D3"/>
      </x:bottom>
    </x:border>
    <x:border>
      <x:right style="thin">
        <x:color rgb="FFE1D8D3"/>
      </x:right>
      <x:bottom style="thin">
        <x:color rgb="FFE1D8D3"/>
      </x:bottom>
    </x:border>
    <x:border>
      <x:left style="thin">
        <x:color rgb="FFE1D8D3"/>
      </x:left>
      <x:right style="thin">
        <x:color rgb="FFE1D8D3"/>
      </x:right>
      <x:bottom style="thin">
        <x:color rgb="FFE1D8D3"/>
      </x:bottom>
    </x:border>
    <x:border>
      <x:left style="thin">
        <x:color rgb="FFE1D8D3"/>
      </x:left>
      <x:bottom style="thin">
        <x:color rgb="FFE1D8D3"/>
      </x:bottom>
    </x:border>
    <x:border>
      <x:right style="thin">
        <x:color rgb="FFE1D8D3"/>
      </x:right>
      <x:top style="thin">
        <x:color rgb="FFE1D8D3"/>
      </x:top>
    </x:border>
    <x:border>
      <x:left style="thin">
        <x:color rgb="FFE1D8D3"/>
      </x:left>
      <x:right style="thin">
        <x:color rgb="FFE1D8D3"/>
      </x:right>
      <x:top style="thin">
        <x:color rgb="FFE1D8D3"/>
      </x:top>
    </x:border>
    <x:border>
      <x:left style="thin">
        <x:color rgb="FFE1D8D3"/>
      </x:left>
      <x:top style="thin">
        <x:color rgb="FFE1D8D3"/>
      </x:top>
    </x:border>
    <x:border>
      <x:left style="thin">
        <x:color rgb="FFE1D8D3"/>
      </x:left>
      <x:top style="thin">
        <x:color rgb="FFE1D8D3"/>
      </x:top>
      <x:bottom style="thin">
        <x:color rgb="FFE1D8D3"/>
      </x:bottom>
    </x:border>
    <x:border>
      <x:top style="thin">
        <x:color rgb="FFE1D8D3"/>
      </x:top>
      <x:bottom style="thin">
        <x:color rgb="FFE1D8D3"/>
      </x:bottom>
    </x:border>
    <x:border>
      <x:right style="thin">
        <x:color rgb="FFE1D8D3"/>
      </x:right>
      <x:top style="thin">
        <x:color rgb="FFE1D8D3"/>
      </x:top>
      <x:bottom style="thin">
        <x:color rgb="FFE1D8D3"/>
      </x:bottom>
    </x:border>
    <x:border>
      <x:left style="thin">
        <x:color rgb="FFE8B9B4"/>
      </x:left>
      <x:top style="thin">
        <x:color rgb="FFE8B9B4"/>
      </x:top>
      <x:bottom style="thin">
        <x:color rgb="FFE8B9B4"/>
      </x:bottom>
    </x:border>
    <x:border>
      <x:top style="thin">
        <x:color rgb="FFE8B9B4"/>
      </x:top>
      <x:bottom style="thin">
        <x:color rgb="FFE8B9B4"/>
      </x:bottom>
    </x:border>
    <x:border>
      <x:right style="thin">
        <x:color rgb="FFE8B9B4"/>
      </x:right>
      <x:top style="thin">
        <x:color rgb="FFE8B9B4"/>
      </x:top>
      <x:bottom style="thin">
        <x:color rgb="FFE8B9B4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200" fontId="5" fillId="0" borderId="4" xfId="0" applyNumberFormat="1" applyFont="1" applyFill="1" applyBorder="1" applyAlignment="1">
      <x:alignment horizontal="center" vertical="top" wrapText="1"/>
    </x:xf>
    <x:xf numFmtId="200" fontId="5" fillId="0" borderId="7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9" xfId="0" applyNumberFormat="1" applyFont="1" applyFill="1" applyBorder="1" applyAlignment="1">
      <x:alignment vertical="center"/>
    </x:xf>
    <x:xf numFmtId="0" fontId="6" fillId="3" borderId="10" xfId="0" applyNumberFormat="1" applyFont="1" applyFill="1" applyBorder="1" applyAlignment="1">
      <x:alignment vertical="center"/>
    </x:xf>
    <x:xf numFmtId="0" fontId="6" fillId="3" borderId="11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/>
    <x:xf numFmtId="0" fontId="5" fillId="0" borderId="2" xfId="0" applyNumberFormat="1" applyFont="1" applyFill="1" applyBorder="1"/>
    <x:xf numFmtId="0" fontId="5" fillId="0" borderId="9" xfId="0" applyNumberFormat="1" applyFont="1" applyFill="1" applyBorder="1"/>
    <x:xf numFmtId="0" fontId="5" fillId="0" borderId="1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top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vertical="top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201" fontId="5" fillId="0" borderId="4" xfId="0" applyNumberFormat="1" applyFont="1" applyFill="1" applyBorder="1" applyAlignment="1">
      <x:alignment vertical="top" wrapText="1"/>
    </x:xf>
    <x:xf numFmtId="201" fontId="5" fillId="0" borderId="2" xfId="0" applyNumberFormat="1" applyFont="1" applyFill="1" applyBorder="1" applyAlignment="1">
      <x:alignment vertical="top" wrapText="1"/>
    </x:xf>
    <x:xf numFmtId="201" fontId="5" fillId="0" borderId="7" xfId="0" applyNumberFormat="1" applyFont="1" applyFill="1" applyBorder="1" applyAlignment="1">
      <x:alignment vertical="top" wrapText="1"/>
    </x:xf>
    <x:xf numFmtId="202" fontId="5" fillId="0" borderId="4" xfId="0" applyNumberFormat="1" applyFont="1" applyFill="1" applyBorder="1" applyAlignment="1">
      <x:alignment vertical="top" wrapText="1"/>
    </x:xf>
    <x:xf numFmtId="202" fontId="5" fillId="0" borderId="2" xfId="0" applyNumberFormat="1" applyFont="1" applyFill="1" applyBorder="1" applyAlignment="1">
      <x:alignment vertical="top" wrapText="1"/>
    </x:xf>
    <x:xf numFmtId="202" fontId="5" fillId="0" borderId="7" xfId="0" applyNumberFormat="1" applyFont="1" applyFill="1" applyBorder="1" applyAlignment="1">
      <x:alignment vertical="top" wrapText="1"/>
    </x:xf>
    <x:xf numFmtId="203" fontId="5" fillId="0" borderId="4" xfId="0" applyNumberFormat="1" applyFont="1" applyFill="1" applyBorder="1" applyAlignment="1">
      <x:alignment vertical="top" wrapText="1"/>
    </x:xf>
    <x:xf numFmtId="203" fontId="5" fillId="0" borderId="2" xfId="0" applyNumberFormat="1" applyFont="1" applyFill="1" applyBorder="1" applyAlignment="1">
      <x:alignment vertical="top" wrapText="1"/>
    </x:xf>
    <x:xf numFmtId="203" fontId="5" fillId="0" borderId="7" xfId="0" applyNumberFormat="1" applyFont="1" applyFill="1" applyBorder="1" applyAlignment="1">
      <x:alignment vertical="top" wrapText="1"/>
    </x:xf>
    <x:xf numFmtId="204" fontId="5" fillId="0" borderId="4" xfId="0" applyNumberFormat="1" applyFont="1" applyFill="1" applyBorder="1" applyAlignment="1">
      <x:alignment vertical="top" wrapText="1"/>
    </x:xf>
    <x:xf numFmtId="204" fontId="5" fillId="0" borderId="2" xfId="0" applyNumberFormat="1" applyFont="1" applyFill="1" applyBorder="1" applyAlignment="1">
      <x:alignment vertical="top" wrapText="1"/>
    </x:xf>
    <x:xf numFmtId="204" fontId="5" fillId="0" borderId="7" xfId="0" applyNumberFormat="1" applyFont="1" applyFill="1" applyBorder="1" applyAlignment="1">
      <x:alignment vertical="top" wrapText="1"/>
    </x:xf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 wrapText="1"/>
    </x:xf>
    <x:xf numFmtId="0" fontId="9" fillId="5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D3F3A"/>
      </x:font>
      <x:fill>
        <x:patternFill patternType="solid">
          <x:bgColor rgb="FFFDEEEE"/>
        </x:patternFill>
      </x:fill>
    </x:dxf>
    <x:dxf>
      <x:font>
        <x:b/>
        <x:color rgb="FF9D3F3A"/>
      </x:font>
      <x:fill>
        <x:patternFill patternType="solid">
          <x:bgColor rgb="FFFDEEEE"/>
        </x:patternFill>
      </x:fill>
    </x:dxf>
    <x:dxf>
      <x:font>
        <x:b/>
        <x:color rgb="FF7A5D19"/>
      </x:font>
      <x:fill>
        <x:patternFill patternType="solid">
          <x:bgColor rgb="FFFFF8DF"/>
        </x:patternFill>
      </x:fill>
    </x:dxf>
    <x:dxf>
      <x:font>
        <x:b/>
        <x:color rgb="FF9D3F3A"/>
      </x:font>
      <x:fill>
        <x:patternFill patternType="solid">
          <x:bgColor rgb="FFFDEEEE"/>
        </x:patternFill>
      </x:fill>
    </x:dxf>
    <x:dxf>
      <x:font>
        <x:b/>
        <x:color rgb="FF2F6957"/>
      </x:font>
      <x:fill>
        <x:patternFill patternType="solid">
          <x:bgColor rgb="FFEEF8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1ba8e33844d2e" /><Relationship Type="http://schemas.openxmlformats.org/officeDocument/2006/relationships/theme" Target="/xl/theme/theme1.xml" Id="Rcc526658ea4c45d0" /><Relationship Type="http://schemas.openxmlformats.org/officeDocument/2006/relationships/sharedStrings" Target="/xl/sharedStrings.xml" Id="R32270601def148de" /><Relationship Type="http://schemas.openxmlformats.org/officeDocument/2006/relationships/worksheet" Target="/xl/worksheets/sheet1.xml" Id="R614e913de9f54376" /><Relationship Type="http://schemas.openxmlformats.org/officeDocument/2006/relationships/worksheet" Target="/xl/worksheets/sheet2.xml" Id="Ra6b8b01966414e46" /><Relationship Type="http://schemas.openxmlformats.org/officeDocument/2006/relationships/worksheet" Target="/xl/worksheets/sheet3.xml" Id="R024ee1c7423b4d48" /><Relationship Type="http://schemas.openxmlformats.org/officeDocument/2006/relationships/worksheet" Target="/xl/worksheets/sheet4.xml" Id="R8402388d774e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272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9" hidden="0" customWidth="1"/>
    <x:col min="2" max="2" width="14" hidden="0" customWidth="1"/>
    <x:col min="3" max="3" width="14" hidden="0" customWidth="1"/>
    <x:col min="4" max="4" width="14" hidden="0" customWidth="1"/>
    <x:col min="5" max="5" width="13" hidden="0" customWidth="1"/>
    <x:col min="6" max="6" width="29" hidden="0" customWidth="1"/>
    <x:col min="7" max="7" width="35" hidden="0" customWidth="1"/>
    <x:col min="8" max="8" width="34" hidden="0" customWidth="1"/>
  </x:cols>
  <x:sheetData>
    <x:row r="2" ht="28" customHeight="1">
      <x:c r="A2" s="2" t="str">
        <x:v>B01 同题试跑：D01 / D02 质量复核</x:v>
      </x:c>
    </x:row>
    <x:row r="3" ht="26" customHeight="1">
      <x:c r="A3" s="4" t="str">
        <x:v>合成受控样本。只验证候选实现的可回溯性与语义质量，不产生消费者洞察或新品经营结论。生成日期：2026-09-23</x:v>
      </x:c>
    </x:row>
    <x:row r="5" ht="36" customHeight="1">
      <x:c r="A5" s="10" t="str">
        <x:v>样本性质</x:v>
      </x:c>
      <x:c r="B5" s="10" t="str">
        <x:v>试跑编号</x:v>
      </x:c>
      <x:c r="C5" s="10" t="str">
        <x:v>评论输入</x:v>
      </x:c>
      <x:c r="D5" s="10" t="str">
        <x:v>搜索输入</x:v>
      </x:c>
      <x:c r="E5" s="10" t="str">
        <x:v>交付契约</x:v>
      </x:c>
      <x:c r="F5" s="10" t="str">
        <x:v>D01 语义闸口</x:v>
      </x:c>
      <x:c r="G5" s="10" t="str">
        <x:v>D02 语义闸口</x:v>
      </x:c>
      <x:c r="H5" s="10" t="str">
        <x:v>真实样本准入</x:v>
      </x:c>
    </x:row>
    <x:row r="6" ht="36" customHeight="1">
      <x:c r="A6" s="16" t="str">
        <x:v>合成受控样本</x:v>
      </x:c>
      <x:c r="B6" s="16" t="str">
        <x:v>B01-TRIAL-01</x:v>
      </x:c>
      <x:c r="C6" s="16" t="n">
        <x:v>24</x:v>
      </x:c>
      <x:c r="D6" s="16" t="n">
        <x:v>18</x:v>
      </x:c>
      <x:c r="E6" s="16" t="str">
        <x:v>4/4 通过</x:v>
      </x:c>
      <x:c r="F6" s="16" t="str">
        <x:v>未通过，不能进入真实样本判断</x:v>
      </x:c>
      <x:c r="G6" s="16" t="str">
        <x:v>未通过，不能进入真实样本判断</x:v>
      </x:c>
      <x:c r="H6" s="16" t="str">
        <x:v>不准入</x:v>
      </x:c>
    </x:row>
    <x:row r="8" ht="52" customHeight="1">
      <x:c r="A8" s="10" t="str">
        <x:v>能力站位</x:v>
      </x:c>
      <x:c r="B8" s="10" t="str">
        <x:v>语义通过</x:v>
      </x:c>
      <x:c r="C8" s="10" t="str">
        <x:v>抽检总数</x:v>
      </x:c>
      <x:c r="D8" s="10" t="str">
        <x:v>精确匹配率</x:v>
      </x:c>
      <x:c r="E8" s="10" t="str">
        <x:v>90% 门槛</x:v>
      </x:c>
      <x:c r="F8" s="10" t="str">
        <x:v>质量闸口</x:v>
      </x:c>
      <x:c r="G8" s="10" t="str">
        <x:v>已验证的交付能力</x:v>
      </x:c>
      <x:c r="H8" s="10" t="str">
        <x:v>当前不能做什么</x:v>
      </x:c>
    </x:row>
    <x:row r="9" ht="52" customHeight="1">
      <x:c r="A9" s="30" t="str">
        <x:v>D01 评论中的需求证据拆解</x:v>
      </x:c>
      <x:c r="B9" s="36" t="n">
        <x:f>COUNTIFS('D01 语义复核'!J6:J29,"通过")</x:f>
        <x:v>14</x:v>
      </x:c>
      <x:c r="C9" s="36" t="n">
        <x:f>COUNTA('D01 语义复核'!A6:A29)</x:f>
        <x:v>24</x:v>
      </x:c>
      <x:c r="D9" s="38" t="n">
        <x:f>B9/C9</x:f>
        <x:v>0.5833333333333334</x:v>
      </x:c>
      <x:c r="E9" s="38" t="n">
        <x:v>0.9</x:v>
      </x:c>
      <x:c r="F9" s="31" t="str">
        <x:f>IF(D9&gt;=E9,"通过","未通过，不能进入真实样本判断")</x:f>
        <x:v>未通过，不能进入真实样本判断</x:v>
      </x:c>
      <x:c r="G9" s="31" t="str">
        <x:v>每条三元组保留 review_id；词典外评论保留为未映射。</x:v>
      </x:c>
      <x:c r="H9" s="32" t="str">
        <x:v>不能作为真实评论的需求判断。</x:v>
      </x:c>
    </x:row>
    <x:row r="10" ht="52" customHeight="1">
      <x:c r="A10" s="33" t="str">
        <x:v>D02 购买前需求信号归集</x:v>
      </x:c>
      <x:c r="B10" s="37" t="n">
        <x:f>COUNTIFS('D02 语义复核'!J6:J23,"通过")</x:f>
        <x:v>15</x:v>
      </x:c>
      <x:c r="C10" s="37" t="n">
        <x:f>COUNTA('D02 语义复核'!A6:A23)</x:f>
        <x:v>18</x:v>
      </x:c>
      <x:c r="D10" s="39" t="n">
        <x:f>B10/C10</x:f>
        <x:v>0.8333333333333334</x:v>
      </x:c>
      <x:c r="E10" s="39" t="n">
        <x:v>0.9</x:v>
      </x:c>
      <x:c r="F10" s="34" t="str">
        <x:f>IF(D10&gt;=E10,"通过","未通过，不能进入真实样本判断")</x:f>
        <x:v>未通过，不能进入真实样本判断</x:v>
      </x:c>
      <x:c r="G10" s="34" t="str">
        <x:v>每条信号保留 query_id、月份、合成量级与规则状态。</x:v>
      </x:c>
      <x:c r="H10" s="35" t="str">
        <x:v>不能输出真实未覆盖需求或产品优先级。</x:v>
      </x:c>
    </x:row>
    <x:row r="12">
      <x:c r="A12" s="44" t="str">
        <x:v>同题对照：两侧记录在受控样本中的读法</x:v>
      </x:c>
      <x:c r="B12" s="45"/>
      <x:c r="C12" s="45"/>
      <x:c r="D12" s="45"/>
      <x:c r="E12" s="45"/>
      <x:c r="F12" s="45"/>
      <x:c r="G12" s="45"/>
      <x:c r="H12" s="46"/>
    </x:row>
    <x:row r="13">
      <x:c r="A13" s="10" t="str">
        <x:v>主题</x:v>
      </x:c>
      <x:c r="B13" s="10" t="str">
        <x:v>D01 规则正面</x:v>
      </x:c>
      <x:c r="C13" s="10" t="str">
        <x:v>D01 规则负面</x:v>
      </x:c>
      <x:c r="D13" s="10" t="str">
        <x:v>D01 规则中性</x:v>
      </x:c>
      <x:c r="E13" s="10" t="str">
        <x:v>搜索记录</x:v>
      </x:c>
      <x:c r="F13" s="10" t="str">
        <x:v>D02 规则命中</x:v>
      </x:c>
      <x:c r="G13" s="10" t="str">
        <x:v>受控样本读法</x:v>
      </x:c>
    </x:row>
    <x:row r="14" ht="46" customHeight="1">
      <x:c r="A14" s="30" t="str">
        <x:v>防漏与密封</x:v>
      </x:c>
      <x:c r="B14" s="31" t="n">
        <x:v>0</x:v>
      </x:c>
      <x:c r="C14" s="31" t="n">
        <x:v>0</x:v>
      </x:c>
      <x:c r="D14" s="31" t="n">
        <x:v>0</x:v>
      </x:c>
      <x:c r="E14" s="31" t="n">
        <x:v>6</x:v>
      </x:c>
      <x:c r="F14" s="31" t="n">
        <x:v>6</x:v>
      </x:c>
      <x:c r="G14" s="32" t="str">
        <x:v>搜索侧命中问题型规则；评论侧未映射，暴露当前 D01 词典的覆盖缺口。</x:v>
      </x:c>
    </x:row>
    <x:row r="15" ht="46" customHeight="1">
      <x:c r="A15" s="53" t="str">
        <x:v>吸力持续性</x:v>
      </x:c>
      <x:c r="B15" s="54" t="n">
        <x:v>5</x:v>
      </x:c>
      <x:c r="C15" s="54" t="n">
        <x:v>4</x:v>
      </x:c>
      <x:c r="D15" s="54" t="n">
        <x:v>2</x:v>
      </x:c>
      <x:c r="E15" s="54" t="n">
        <x:v>3</x:v>
      </x:c>
      <x:c r="F15" s="54" t="n">
        <x:v>3</x:v>
      </x:c>
      <x:c r="G15" s="55" t="str">
        <x:v>两侧都有合成输入记录；D01 规则输出有正负并存，但语义闸口未通过，只能保留为待修复测试主题。</x:v>
      </x:c>
    </x:row>
    <x:row r="16" ht="46" customHeight="1">
      <x:c r="A16" s="53" t="str">
        <x:v>安静使用</x:v>
      </x:c>
      <x:c r="B16" s="54" t="n">
        <x:v>10</x:v>
      </x:c>
      <x:c r="C16" s="54" t="n">
        <x:v>2</x:v>
      </x:c>
      <x:c r="D16" s="54" t="n">
        <x:v>0</x:v>
      </x:c>
      <x:c r="E16" s="54" t="n">
        <x:v>3</x:v>
      </x:c>
      <x:c r="F16" s="54" t="n">
        <x:v>0</x:v>
      </x:c>
      <x:c r="G16" s="55" t="str">
        <x:v>D01 规则输出有正负并存，搜索侧主要是属性/场景表达；语义闸口未通过，不能合并成单向痛点。</x:v>
      </x:c>
    </x:row>
    <x:row r="17" ht="46" customHeight="1">
      <x:c r="A17" s="53" t="str">
        <x:v>佩戴舒适度</x:v>
      </x:c>
      <x:c r="B17" s="54" t="n">
        <x:v>2</x:v>
      </x:c>
      <x:c r="C17" s="54" t="n">
        <x:v>3</x:v>
      </x:c>
      <x:c r="D17" s="54" t="n">
        <x:v>0</x:v>
      </x:c>
      <x:c r="E17" s="54" t="n">
        <x:v>2</x:v>
      </x:c>
      <x:c r="F17" s="54" t="n">
        <x:v>0</x:v>
      </x:c>
      <x:c r="G17" s="55" t="str">
        <x:v>D01 规则输出有正负记录，搜索侧只是属性表达；语义闸口未通过，不能把它们当作证据。</x:v>
      </x:c>
    </x:row>
    <x:row r="18" ht="46" customHeight="1">
      <x:c r="A18" s="33" t="str">
        <x:v>续航与充电</x:v>
      </x:c>
      <x:c r="B18" s="34" t="n">
        <x:v>2</x:v>
      </x:c>
      <x:c r="C18" s="34" t="n">
        <x:v>2</x:v>
      </x:c>
      <x:c r="D18" s="34" t="n">
        <x:v>0</x:v>
      </x:c>
      <x:c r="E18" s="34" t="n">
        <x:v>1</x:v>
      </x:c>
      <x:c r="F18" s="34" t="n">
        <x:v>0</x:v>
      </x:c>
      <x:c r="G18" s="35" t="str">
        <x:v>D01 规则输出有正负记录，搜索侧低于试跑阈值；语义闸口未通过，不输出优先级判断。</x:v>
      </x:c>
    </x:row>
    <x:row r="20" ht="52" customHeight="1">
      <x:c r="A20" s="58" t="str">
        <x:v>业务问题</x:v>
      </x:c>
      <x:c r="B20" s="61" t="str">
        <x:v>在一个具体品类里，哪些使用阶段问题能被评论与购买前搜索语言分别定位；两种证据在哪些地方支持、相互牵制或仍然未知？</x:v>
      </x:c>
      <x:c r="C20" s="61"/>
      <x:c r="D20" s="61"/>
      <x:c r="E20" s="61"/>
      <x:c r="F20" s="61"/>
      <x:c r="G20" s="61"/>
      <x:c r="H20" s="61"/>
    </x:row>
    <x:row r="21" ht="52" customHeight="1">
      <x:c r="A21" s="64" t="str">
        <x:v>本轮边界</x:v>
      </x:c>
      <x:c r="B21" s="67" t="str">
        <x:v>所有输入与量级均为合成数据。交付契约通过不等于语义质量、样本代表性、真实趋势或业务可用性通过。</x:v>
      </x:c>
      <x:c r="C21" s="67"/>
      <x:c r="D21" s="67"/>
      <x:c r="E21" s="67"/>
      <x:c r="F21" s="67"/>
      <x:c r="G21" s="67"/>
      <x:c r="H21" s="67"/>
    </x:row>
  </x:sheetData>
  <x:mergeCells>
    <x:mergeCell ref="B20:H20"/>
    <x:mergeCell ref="B21:H21"/>
  </x:mergeCells>
  <x:conditionalFormatting sqref="F9:F10">
    <x:cfRule type="containsText" dxfId="0" priority="1" operator="containsText" text="未通过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8706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8" hidden="0" customWidth="1"/>
    <x:col min="3" max="3" width="13" hidden="0" customWidth="1"/>
    <x:col min="4" max="4" width="58" hidden="0" customWidth="1"/>
    <x:col min="5" max="5" width="27" hidden="0" customWidth="1"/>
    <x:col min="6" max="6" width="32" hidden="0" customWidth="1"/>
    <x:col min="7" max="7" width="25" hidden="0" customWidth="1"/>
    <x:col min="8" max="8" width="28" hidden="0" customWidth="1"/>
    <x:col min="9" max="9" width="18" hidden="0" customWidth="1"/>
    <x:col min="10" max="10" width="12" hidden="0" customWidth="1"/>
  </x:cols>
  <x:sheetData>
    <x:row r="2" ht="28" customHeight="1">
      <x:c r="A2" s="2" t="str">
        <x:v>D01：评论方面级情感拆解的语义复核</x:v>
      </x:c>
    </x:row>
    <x:row r="3" ht="26" customHeight="1">
      <x:c r="A3" s="4" t="str">
        <x:v>评的是规则输出是否符合语义明确的合成句子；逐条精确匹配低于门槛时，不得进入真实样本判断。</x:v>
      </x:c>
    </x:row>
    <x:row r="5" ht="34" customHeight="1">
      <x:c r="A5" s="10" t="str">
        <x:v>评论 ID</x:v>
      </x:c>
      <x:c r="B5" s="10" t="str">
        <x:v>评分</x:v>
      </x:c>
      <x:c r="C5" s="10" t="str">
        <x:v>日期</x:v>
      </x:c>
      <x:c r="D5" s="10" t="str">
        <x:v>合成评论文本</x:v>
      </x:c>
      <x:c r="E5" s="10" t="str">
        <x:v>预期方面 / 情感</x:v>
      </x:c>
      <x:c r="F5" s="10" t="str">
        <x:v>实际方面 / 情感</x:v>
      </x:c>
      <x:c r="G5" s="10" t="str">
        <x:v>缺失项</x:v>
      </x:c>
      <x:c r="H5" s="10" t="str">
        <x:v>多余项</x:v>
      </x:c>
      <x:c r="I5" s="10" t="str">
        <x:v>映射状态</x:v>
      </x:c>
      <x:c r="J5" s="10" t="str">
        <x:v>语义复核</x:v>
      </x:c>
    </x:row>
    <x:row r="6" ht="72" customHeight="1">
      <x:c r="A6" s="30" t="str">
        <x:v>R001</x:v>
      </x:c>
      <x:c r="B6" s="68" t="n">
        <x:v>2</x:v>
      </x:c>
      <x:c r="C6" s="71" t="n">
        <x:v>46206</x:v>
      </x:c>
      <x:c r="D6" s="31" t="str">
        <x:v>The noise is loud enough that I would not use it beside a sleeping baby.</x:v>
      </x:c>
      <x:c r="E6" s="31" t="str">
        <x:v>噪音 / negative</x:v>
      </x:c>
      <x:c r="F6" s="31" t="str">
        <x:v>噪音 / positive</x:v>
      </x:c>
      <x:c r="G6" s="31" t="str">
        <x:v>噪音 / negative</x:v>
      </x:c>
      <x:c r="H6" s="31" t="str">
        <x:v>噪音 / positive</x:v>
      </x:c>
      <x:c r="I6" s="31" t="str">
        <x:v>已映射</x:v>
      </x:c>
      <x:c r="J6" s="32" t="str">
        <x:v>未通过</x:v>
      </x:c>
    </x:row>
    <x:row r="7" ht="72" customHeight="1">
      <x:c r="A7" s="53" t="str">
        <x:v>R002</x:v>
      </x:c>
      <x:c r="B7" s="69" t="n">
        <x:v>5</x:v>
      </x:c>
      <x:c r="C7" s="72" t="n">
        <x:v>46208</x:v>
      </x:c>
      <x:c r="D7" s="54" t="str">
        <x:v>It is quiet and discreet enough for a shared office. I love the compact size.</x:v>
      </x:c>
      <x:c r="E7" s="54" t="str">
        <x:v>噪音 / positive；尺寸重量 / positive</x:v>
      </x:c>
      <x:c r="F7" s="54" t="str">
        <x:v>噪音 / positive；尺寸重量 / positive</x:v>
      </x:c>
      <x:c r="G7" s="54" t="str">
        <x:v>未映射</x:v>
      </x:c>
      <x:c r="H7" s="54" t="str">
        <x:v>未映射</x:v>
      </x:c>
      <x:c r="I7" s="54" t="str">
        <x:v>已映射</x:v>
      </x:c>
      <x:c r="J7" s="55" t="str">
        <x:v>通过</x:v>
      </x:c>
    </x:row>
    <x:row r="8" ht="72" customHeight="1">
      <x:c r="A8" s="53" t="str">
        <x:v>R003</x:v>
      </x:c>
      <x:c r="B8" s="69" t="n">
        <x:v>2</x:v>
      </x:c>
      <x:c r="C8" s="72" t="n">
        <x:v>46211</x:v>
      </x:c>
      <x:c r="D8" s="54" t="str">
        <x:v>The suction feels weak after fifteen minutes, although the battery is good.</x:v>
      </x:c>
      <x:c r="E8" s="54" t="str">
        <x:v>充电 / positive；吸力 / negative</x:v>
      </x:c>
      <x:c r="F8" s="54" t="str">
        <x:v>充电 / positive；吸力 / negative</x:v>
      </x:c>
      <x:c r="G8" s="54" t="str">
        <x:v>未映射</x:v>
      </x:c>
      <x:c r="H8" s="54" t="str">
        <x:v>未映射</x:v>
      </x:c>
      <x:c r="I8" s="54" t="str">
        <x:v>已映射</x:v>
      </x:c>
      <x:c r="J8" s="55" t="str">
        <x:v>通过</x:v>
      </x:c>
    </x:row>
    <x:row r="9" ht="72" customHeight="1">
      <x:c r="A9" s="53" t="str">
        <x:v>R004</x:v>
      </x:c>
      <x:c r="B9" s="69" t="n">
        <x:v>5</x:v>
      </x:c>
      <x:c r="C9" s="72" t="n">
        <x:v>46213</x:v>
      </x:c>
      <x:c r="D9" s="54" t="str">
        <x:v>Strong suction helped me finish quickly and the charging cable is easy to use.</x:v>
      </x:c>
      <x:c r="E9" s="54" t="str">
        <x:v>充电 / positive；吸力 / positive</x:v>
      </x:c>
      <x:c r="F9" s="54" t="str">
        <x:v>充电 / positive；吸力 / positive；客服 / positive；易用性 / positive</x:v>
      </x:c>
      <x:c r="G9" s="54" t="str">
        <x:v>未映射</x:v>
      </x:c>
      <x:c r="H9" s="54" t="str">
        <x:v>客服 / positive；易用性 / positive</x:v>
      </x:c>
      <x:c r="I9" s="54" t="str">
        <x:v>已映射</x:v>
      </x:c>
      <x:c r="J9" s="55" t="str">
        <x:v>未通过</x:v>
      </x:c>
    </x:row>
    <x:row r="10" ht="72" customHeight="1">
      <x:c r="A10" s="53" t="str">
        <x:v>R005</x:v>
      </x:c>
      <x:c r="B10" s="69" t="n">
        <x:v>2</x:v>
      </x:c>
      <x:c r="C10" s="72" t="n">
        <x:v>46216</x:v>
      </x:c>
      <x:c r="D10" s="54" t="str">
        <x:v>The flange fit was uncomfortable and painful by the end of the session.</x:v>
      </x:c>
      <x:c r="E10" s="54" t="str">
        <x:v>舒适度 / negative</x:v>
      </x:c>
      <x:c r="F10" s="54" t="str">
        <x:v>舒适度 / negative</x:v>
      </x:c>
      <x:c r="G10" s="54" t="str">
        <x:v>未映射</x:v>
      </x:c>
      <x:c r="H10" s="54" t="str">
        <x:v>未映射</x:v>
      </x:c>
      <x:c r="I10" s="54" t="str">
        <x:v>已映射</x:v>
      </x:c>
      <x:c r="J10" s="55" t="str">
        <x:v>通过</x:v>
      </x:c>
    </x:row>
    <x:row r="11" ht="72" customHeight="1">
      <x:c r="A11" s="53" t="str">
        <x:v>R006</x:v>
      </x:c>
      <x:c r="B11" s="69" t="n">
        <x:v>5</x:v>
      </x:c>
      <x:c r="C11" s="72" t="n">
        <x:v>46218</x:v>
      </x:c>
      <x:c r="D11" s="54" t="str">
        <x:v>The flange fit is comfortable and the small pump is portable for travel.</x:v>
      </x:c>
      <x:c r="E11" s="54" t="str">
        <x:v>尺寸重量 / positive；舒适度 / positive</x:v>
      </x:c>
      <x:c r="F11" s="54" t="str">
        <x:v>尺寸重量 / positive；舒适度 / positive</x:v>
      </x:c>
      <x:c r="G11" s="54" t="str">
        <x:v>未映射</x:v>
      </x:c>
      <x:c r="H11" s="54" t="str">
        <x:v>未映射</x:v>
      </x:c>
      <x:c r="I11" s="54" t="str">
        <x:v>已映射</x:v>
      </x:c>
      <x:c r="J11" s="55" t="str">
        <x:v>通过</x:v>
      </x:c>
    </x:row>
    <x:row r="12" ht="72" customHeight="1">
      <x:c r="A12" s="53" t="str">
        <x:v>R007</x:v>
      </x:c>
      <x:c r="B12" s="69" t="n">
        <x:v>2</x:v>
      </x:c>
      <x:c r="C12" s="72" t="n">
        <x:v>46221</x:v>
      </x:c>
      <x:c r="D12" s="54" t="str">
        <x:v>Battery life is poor and charging is slow during a busy workday.</x:v>
      </x:c>
      <x:c r="E12" s="54" t="str">
        <x:v>充电 / negative</x:v>
      </x:c>
      <x:c r="F12" s="54" t="str">
        <x:v>充电 / negative；物流 / negative</x:v>
      </x:c>
      <x:c r="G12" s="54" t="str">
        <x:v>未映射</x:v>
      </x:c>
      <x:c r="H12" s="54" t="str">
        <x:v>物流 / negative</x:v>
      </x:c>
      <x:c r="I12" s="54" t="str">
        <x:v>已映射</x:v>
      </x:c>
      <x:c r="J12" s="55" t="str">
        <x:v>未通过</x:v>
      </x:c>
    </x:row>
    <x:row r="13" ht="72" customHeight="1">
      <x:c r="A13" s="53" t="str">
        <x:v>R008</x:v>
      </x:c>
      <x:c r="B13" s="69" t="n">
        <x:v>5</x:v>
      </x:c>
      <x:c r="C13" s="72" t="n">
        <x:v>46224</x:v>
      </x:c>
      <x:c r="D13" s="54" t="str">
        <x:v>Battery life is great. It lasts a full workday and charging is fast.</x:v>
      </x:c>
      <x:c r="E13" s="54" t="str">
        <x:v>充电 / positive</x:v>
      </x:c>
      <x:c r="F13" s="54" t="str">
        <x:v>充电 / positive；物流 / positive</x:v>
      </x:c>
      <x:c r="G13" s="54" t="str">
        <x:v>未映射</x:v>
      </x:c>
      <x:c r="H13" s="54" t="str">
        <x:v>物流 / positive</x:v>
      </x:c>
      <x:c r="I13" s="54" t="str">
        <x:v>已映射</x:v>
      </x:c>
      <x:c r="J13" s="55" t="str">
        <x:v>未通过</x:v>
      </x:c>
    </x:row>
    <x:row r="14" ht="72" customHeight="1">
      <x:c r="A14" s="53" t="str">
        <x:v>R009</x:v>
      </x:c>
      <x:c r="B14" s="69" t="n">
        <x:v>2</x:v>
      </x:c>
      <x:c r="C14" s="72" t="n">
        <x:v>46227</x:v>
      </x:c>
      <x:c r="D14" s="54" t="str">
        <x:v>Setup was complicated and the instructions made assembly difficult.</x:v>
      </x:c>
      <x:c r="E14" s="54" t="str">
        <x:v>易用性 / negative</x:v>
      </x:c>
      <x:c r="F14" s="54" t="str">
        <x:v>易用性 / negative</x:v>
      </x:c>
      <x:c r="G14" s="54" t="str">
        <x:v>未映射</x:v>
      </x:c>
      <x:c r="H14" s="54" t="str">
        <x:v>未映射</x:v>
      </x:c>
      <x:c r="I14" s="54" t="str">
        <x:v>已映射</x:v>
      </x:c>
      <x:c r="J14" s="55" t="str">
        <x:v>通过</x:v>
      </x:c>
    </x:row>
    <x:row r="15" ht="72" customHeight="1">
      <x:c r="A15" s="53" t="str">
        <x:v>R010</x:v>
      </x:c>
      <x:c r="B15" s="69" t="n">
        <x:v>5</x:v>
      </x:c>
      <x:c r="C15" s="72" t="n">
        <x:v>46229</x:v>
      </x:c>
      <x:c r="D15" s="54" t="str">
        <x:v>The setup is easy and simple even when I am tired.</x:v>
      </x:c>
      <x:c r="E15" s="54" t="str">
        <x:v>易用性 / positive</x:v>
      </x:c>
      <x:c r="F15" s="54" t="str">
        <x:v>易用性 / positive</x:v>
      </x:c>
      <x:c r="G15" s="54" t="str">
        <x:v>未映射</x:v>
      </x:c>
      <x:c r="H15" s="54" t="str">
        <x:v>未映射</x:v>
      </x:c>
      <x:c r="I15" s="54" t="str">
        <x:v>已映射</x:v>
      </x:c>
      <x:c r="J15" s="55" t="str">
        <x:v>通过</x:v>
      </x:c>
    </x:row>
    <x:row r="16" ht="72" customHeight="1">
      <x:c r="A16" s="53" t="str">
        <x:v>R011</x:v>
      </x:c>
      <x:c r="B16" s="69" t="n">
        <x:v>2</x:v>
      </x:c>
      <x:c r="C16" s="72" t="n">
        <x:v>46236</x:v>
      </x:c>
      <x:c r="D16" s="54" t="str">
        <x:v>The price feels expensive for something that still makes a loud sound.</x:v>
      </x:c>
      <x:c r="E16" s="54" t="str">
        <x:v>价格 / negative；噪音 / negative</x:v>
      </x:c>
      <x:c r="F16" s="54" t="str">
        <x:v>价格 / negative；噪音 / negative</x:v>
      </x:c>
      <x:c r="G16" s="54" t="str">
        <x:v>未映射</x:v>
      </x:c>
      <x:c r="H16" s="54" t="str">
        <x:v>未映射</x:v>
      </x:c>
      <x:c r="I16" s="54" t="str">
        <x:v>已映射</x:v>
      </x:c>
      <x:c r="J16" s="55" t="str">
        <x:v>通过</x:v>
      </x:c>
    </x:row>
    <x:row r="17" ht="72" customHeight="1">
      <x:c r="A17" s="53" t="str">
        <x:v>R012</x:v>
      </x:c>
      <x:c r="B17" s="69" t="n">
        <x:v>5</x:v>
      </x:c>
      <x:c r="C17" s="72" t="n">
        <x:v>46238</x:v>
      </x:c>
      <x:c r="D17" s="54" t="str">
        <x:v>It is worth the price because it is quiet and easy to use.</x:v>
      </x:c>
      <x:c r="E17" s="54" t="str">
        <x:v>价格 / positive；噪音 / positive；易用性 / positive</x:v>
      </x:c>
      <x:c r="F17" s="54" t="str">
        <x:v>价格 / positive；噪音 / positive；易用性 / positive</x:v>
      </x:c>
      <x:c r="G17" s="54" t="str">
        <x:v>未映射</x:v>
      </x:c>
      <x:c r="H17" s="54" t="str">
        <x:v>未映射</x:v>
      </x:c>
      <x:c r="I17" s="54" t="str">
        <x:v>已映射</x:v>
      </x:c>
      <x:c r="J17" s="55" t="str">
        <x:v>通过</x:v>
      </x:c>
    </x:row>
    <x:row r="18" ht="72" customHeight="1">
      <x:c r="A18" s="53" t="str">
        <x:v>R013</x:v>
      </x:c>
      <x:c r="B18" s="69" t="n">
        <x:v>2</x:v>
      </x:c>
      <x:c r="C18" s="72" t="n">
        <x:v>46242</x:v>
      </x:c>
      <x:c r="D18" s="54" t="str">
        <x:v>Customer service was slow to respond when I asked for help.</x:v>
      </x:c>
      <x:c r="E18" s="54" t="str">
        <x:v>客服 / negative</x:v>
      </x:c>
      <x:c r="F18" s="54" t="str">
        <x:v>客服 / negative；物流 / negative</x:v>
      </x:c>
      <x:c r="G18" s="54" t="str">
        <x:v>未映射</x:v>
      </x:c>
      <x:c r="H18" s="54" t="str">
        <x:v>物流 / negative</x:v>
      </x:c>
      <x:c r="I18" s="54" t="str">
        <x:v>已映射</x:v>
      </x:c>
      <x:c r="J18" s="55" t="str">
        <x:v>未通过</x:v>
      </x:c>
    </x:row>
    <x:row r="19" ht="72" customHeight="1">
      <x:c r="A19" s="53" t="str">
        <x:v>R014</x:v>
      </x:c>
      <x:c r="B19" s="69" t="n">
        <x:v>5</x:v>
      </x:c>
      <x:c r="C19" s="72" t="n">
        <x:v>46245</x:v>
      </x:c>
      <x:c r="D19" s="54" t="str">
        <x:v>Customer support was fast and helpful when I needed a replacement part.</x:v>
      </x:c>
      <x:c r="E19" s="54" t="str">
        <x:v>客服 / positive</x:v>
      </x:c>
      <x:c r="F19" s="54" t="str">
        <x:v>客服 / positive；物流 / positive</x:v>
      </x:c>
      <x:c r="G19" s="54" t="str">
        <x:v>未映射</x:v>
      </x:c>
      <x:c r="H19" s="54" t="str">
        <x:v>物流 / positive</x:v>
      </x:c>
      <x:c r="I19" s="54" t="str">
        <x:v>已映射</x:v>
      </x:c>
      <x:c r="J19" s="55" t="str">
        <x:v>未通过</x:v>
      </x:c>
    </x:row>
    <x:row r="20" ht="72" customHeight="1">
      <x:c r="A20" s="53" t="str">
        <x:v>R015</x:v>
      </x:c>
      <x:c r="B20" s="69" t="n">
        <x:v>2</x:v>
      </x:c>
      <x:c r="C20" s="72" t="n">
        <x:v>46249</x:v>
      </x:c>
      <x:c r="D20" s="54" t="str">
        <x:v>The package arrived late and delivery updates were poor.</x:v>
      </x:c>
      <x:c r="E20" s="54" t="str">
        <x:v>物流 / negative</x:v>
      </x:c>
      <x:c r="F20" s="54" t="str">
        <x:v>物流 / negative</x:v>
      </x:c>
      <x:c r="G20" s="54" t="str">
        <x:v>未映射</x:v>
      </x:c>
      <x:c r="H20" s="54" t="str">
        <x:v>未映射</x:v>
      </x:c>
      <x:c r="I20" s="54" t="str">
        <x:v>已映射</x:v>
      </x:c>
      <x:c r="J20" s="55" t="str">
        <x:v>通过</x:v>
      </x:c>
    </x:row>
    <x:row r="21" ht="72" customHeight="1">
      <x:c r="A21" s="53" t="str">
        <x:v>R016</x:v>
      </x:c>
      <x:c r="B21" s="69" t="n">
        <x:v>5</x:v>
      </x:c>
      <x:c r="C21" s="72" t="n">
        <x:v>46252</x:v>
      </x:c>
      <x:c r="D21" s="54" t="str">
        <x:v>Shipping was fast and the package arrived in good condition.</x:v>
      </x:c>
      <x:c r="E21" s="54" t="str">
        <x:v>物流 / positive</x:v>
      </x:c>
      <x:c r="F21" s="54" t="str">
        <x:v>物流 / positive</x:v>
      </x:c>
      <x:c r="G21" s="54" t="str">
        <x:v>未映射</x:v>
      </x:c>
      <x:c r="H21" s="54" t="str">
        <x:v>未映射</x:v>
      </x:c>
      <x:c r="I21" s="54" t="str">
        <x:v>已映射</x:v>
      </x:c>
      <x:c r="J21" s="55" t="str">
        <x:v>通过</x:v>
      </x:c>
    </x:row>
    <x:row r="22" ht="72" customHeight="1">
      <x:c r="A22" s="53" t="str">
        <x:v>R017</x:v>
      </x:c>
      <x:c r="B22" s="69" t="n">
        <x:v>2</x:v>
      </x:c>
      <x:c r="C22" s="72" t="n">
        <x:v>46256</x:v>
      </x:c>
      <x:c r="D22" s="54" t="str">
        <x:v>Milk leaked from the cup after I bent down to pick up a toy.</x:v>
      </x:c>
      <x:c r="E22" s="54" t="str">
        <x:v>未映射</x:v>
      </x:c>
      <x:c r="F22" s="54" t="str">
        <x:v>未映射</x:v>
      </x:c>
      <x:c r="G22" s="54" t="str">
        <x:v>未映射</x:v>
      </x:c>
      <x:c r="H22" s="54" t="str">
        <x:v>未映射</x:v>
      </x:c>
      <x:c r="I22" s="54" t="str">
        <x:v>未映射，保留未知</x:v>
      </x:c>
      <x:c r="J22" s="55" t="str">
        <x:v>通过</x:v>
      </x:c>
    </x:row>
    <x:row r="23" ht="72" customHeight="1">
      <x:c r="A23" s="53" t="str">
        <x:v>R018</x:v>
      </x:c>
      <x:c r="B23" s="69" t="n">
        <x:v>2</x:v>
      </x:c>
      <x:c r="C23" s="72" t="n">
        <x:v>46259</x:v>
      </x:c>
      <x:c r="D23" s="54" t="str">
        <x:v>One sudden movement caused a spill, and I had to change my shirt.</x:v>
      </x:c>
      <x:c r="E23" s="54" t="str">
        <x:v>未映射</x:v>
      </x:c>
      <x:c r="F23" s="54" t="str">
        <x:v>未映射</x:v>
      </x:c>
      <x:c r="G23" s="54" t="str">
        <x:v>未映射</x:v>
      </x:c>
      <x:c r="H23" s="54" t="str">
        <x:v>未映射</x:v>
      </x:c>
      <x:c r="I23" s="54" t="str">
        <x:v>未映射，保留未知</x:v>
      </x:c>
      <x:c r="J23" s="55" t="str">
        <x:v>通过</x:v>
      </x:c>
    </x:row>
    <x:row r="24" ht="72" customHeight="1">
      <x:c r="A24" s="53" t="str">
        <x:v>R019</x:v>
      </x:c>
      <x:c r="B24" s="69" t="n">
        <x:v>3</x:v>
      </x:c>
      <x:c r="C24" s="72" t="n">
        <x:v>46267</x:v>
      </x:c>
      <x:c r="D24" s="54" t="str">
        <x:v>It is quiet but the suction is weak, so my experience is mixed.</x:v>
      </x:c>
      <x:c r="E24" s="54" t="str">
        <x:v>吸力 / negative；噪音 / positive</x:v>
      </x:c>
      <x:c r="F24" s="54" t="str">
        <x:v>吸力 / neutral；噪音 / neutral</x:v>
      </x:c>
      <x:c r="G24" s="54" t="str">
        <x:v>吸力 / negative；噪音 / positive</x:v>
      </x:c>
      <x:c r="H24" s="54" t="str">
        <x:v>吸力 / neutral；噪音 / neutral</x:v>
      </x:c>
      <x:c r="I24" s="54" t="str">
        <x:v>已映射</x:v>
      </x:c>
      <x:c r="J24" s="55" t="str">
        <x:v>未通过</x:v>
      </x:c>
    </x:row>
    <x:row r="25" ht="72" customHeight="1">
      <x:c r="A25" s="53" t="str">
        <x:v>R020</x:v>
      </x:c>
      <x:c r="B25" s="69" t="n">
        <x:v>4</x:v>
      </x:c>
      <x:c r="C25" s="72" t="n">
        <x:v>46271</x:v>
      </x:c>
      <x:c r="D25" s="54" t="str">
        <x:v>The compact size is great, but the flange fit is not comfortable for a long session.</x:v>
      </x:c>
      <x:c r="E25" s="54" t="str">
        <x:v>尺寸重量 / positive；舒适度 / negative</x:v>
      </x:c>
      <x:c r="F25" s="54" t="str">
        <x:v>尺寸重量 / negative；舒适度 / negative</x:v>
      </x:c>
      <x:c r="G25" s="54" t="str">
        <x:v>尺寸重量 / positive</x:v>
      </x:c>
      <x:c r="H25" s="54" t="str">
        <x:v>尺寸重量 / negative</x:v>
      </x:c>
      <x:c r="I25" s="54" t="str">
        <x:v>已映射</x:v>
      </x:c>
      <x:c r="J25" s="55" t="str">
        <x:v>未通过</x:v>
      </x:c>
    </x:row>
    <x:row r="26" ht="72" customHeight="1">
      <x:c r="A26" s="53" t="str">
        <x:v>R021</x:v>
      </x:c>
      <x:c r="B26" s="69" t="n">
        <x:v>3</x:v>
      </x:c>
      <x:c r="C26" s="72" t="n">
        <x:v>46275</x:v>
      </x:c>
      <x:c r="D26" s="54" t="str">
        <x:v>The pump works for me, but I need a clearer way to track each session.</x:v>
      </x:c>
      <x:c r="E26" s="54" t="str">
        <x:v>未映射</x:v>
      </x:c>
      <x:c r="F26" s="54" t="str">
        <x:v>未映射</x:v>
      </x:c>
      <x:c r="G26" s="54" t="str">
        <x:v>未映射</x:v>
      </x:c>
      <x:c r="H26" s="54" t="str">
        <x:v>未映射</x:v>
      </x:c>
      <x:c r="I26" s="54" t="str">
        <x:v>未映射，保留未知</x:v>
      </x:c>
      <x:c r="J26" s="55" t="str">
        <x:v>通过</x:v>
      </x:c>
    </x:row>
    <x:row r="27" ht="72" customHeight="1">
      <x:c r="A27" s="53" t="str">
        <x:v>R022</x:v>
      </x:c>
      <x:c r="B27" s="69" t="n">
        <x:v>4</x:v>
      </x:c>
      <x:c r="C27" s="72" t="n">
        <x:v>46278</x:v>
      </x:c>
      <x:c r="D27" s="54" t="str">
        <x:v>I want an app that marks the session as complete.</x:v>
      </x:c>
      <x:c r="E27" s="54" t="str">
        <x:v>未映射</x:v>
      </x:c>
      <x:c r="F27" s="54" t="str">
        <x:v>未映射</x:v>
      </x:c>
      <x:c r="G27" s="54" t="str">
        <x:v>未映射</x:v>
      </x:c>
      <x:c r="H27" s="54" t="str">
        <x:v>未映射</x:v>
      </x:c>
      <x:c r="I27" s="54" t="str">
        <x:v>未映射，保留未知</x:v>
      </x:c>
      <x:c r="J27" s="55" t="str">
        <x:v>通过</x:v>
      </x:c>
    </x:row>
    <x:row r="28" ht="72" customHeight="1">
      <x:c r="A28" s="53" t="str">
        <x:v>R023</x:v>
      </x:c>
      <x:c r="B28" s="69" t="n">
        <x:v>1</x:v>
      </x:c>
      <x:c r="C28" s="72" t="n">
        <x:v>46282</x:v>
      </x:c>
      <x:c r="D28" s="54" t="str">
        <x:v>The sound is noisy and the suction power is weak. I regret the purchase.</x:v>
      </x:c>
      <x:c r="E28" s="54" t="str">
        <x:v>吸力 / negative；噪音 / negative</x:v>
      </x:c>
      <x:c r="F28" s="54" t="str">
        <x:v>充电 / negative；吸力 / negative；噪音 / negative</x:v>
      </x:c>
      <x:c r="G28" s="54" t="str">
        <x:v>未映射</x:v>
      </x:c>
      <x:c r="H28" s="54" t="str">
        <x:v>充电 / negative</x:v>
      </x:c>
      <x:c r="I28" s="54" t="str">
        <x:v>已映射</x:v>
      </x:c>
      <x:c r="J28" s="55" t="str">
        <x:v>未通过</x:v>
      </x:c>
    </x:row>
    <x:row r="29" ht="72" customHeight="1">
      <x:c r="A29" s="33" t="str">
        <x:v>R024</x:v>
      </x:c>
      <x:c r="B29" s="70" t="n">
        <x:v>5</x:v>
      </x:c>
      <x:c r="C29" s="73" t="n">
        <x:v>46285</x:v>
      </x:c>
      <x:c r="D29" s="34" t="str">
        <x:v>Quiet, powerful, comfortable and easy. This made commuting much easier.</x:v>
      </x:c>
      <x:c r="E29" s="34" t="str">
        <x:v>噪音 / positive；易用性 / positive；舒适度 / positive</x:v>
      </x:c>
      <x:c r="F29" s="34" t="str">
        <x:v>充电 / positive；噪音 / positive；易用性 / positive；舒适度 / positive</x:v>
      </x:c>
      <x:c r="G29" s="34" t="str">
        <x:v>未映射</x:v>
      </x:c>
      <x:c r="H29" s="34" t="str">
        <x:v>充电 / positive</x:v>
      </x:c>
      <x:c r="I29" s="34" t="str">
        <x:v>已映射</x:v>
      </x:c>
      <x:c r="J29" s="35" t="str">
        <x:v>未通过</x:v>
      </x:c>
    </x:row>
    <x:row r="32" ht="54" customHeight="1">
      <x:c r="A32" s="64" t="str">
        <x:v>D01 本轮结论</x:v>
      </x:c>
      <x:c r="B32" s="67" t="str">
        <x:v>精确匹配 14/24（58.3%），低于 90% 门槛。主要问题是局部词义扩散、方面误挂与混合情感处理失真。</x:v>
      </x:c>
      <x:c r="C32" s="67"/>
      <x:c r="D32" s="67"/>
      <x:c r="E32" s="67"/>
      <x:c r="F32" s="67"/>
      <x:c r="G32" s="67"/>
      <x:c r="H32" s="67"/>
      <x:c r="I32" s="67"/>
      <x:c r="J32" s="67"/>
    </x:row>
  </x:sheetData>
  <x:mergeCells>
    <x:mergeCell ref="B32:J32"/>
  </x:mergeCells>
  <x:conditionalFormatting sqref="J6:J29">
    <x:cfRule type="containsText" dxfId="1" priority="1" operator="containsText" text="未通过"/>
  </x:conditionalFormatting>
  <x:conditionalFormatting sqref="I6:I29">
    <x:cfRule type="containsText" dxfId="2" priority="2" operator="containsText" text="未映射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695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0" hidden="0" customWidth="1"/>
    <x:col min="3" max="3" width="48" hidden="0" customWidth="1"/>
    <x:col min="4" max="4" width="13" hidden="0" customWidth="1"/>
    <x:col min="5" max="5" width="12" hidden="0" customWidth="1"/>
    <x:col min="6" max="6" width="27" hidden="0" customWidth="1"/>
    <x:col min="7" max="7" width="27" hidden="0" customWidth="1"/>
    <x:col min="8" max="8" width="13" hidden="0" customWidth="1"/>
    <x:col min="9" max="9" width="42" hidden="0" customWidth="1"/>
    <x:col min="10" max="10" width="12" hidden="0" customWidth="1"/>
  </x:cols>
  <x:sheetData>
    <x:row r="2" ht="28" customHeight="1">
      <x:c r="A2" s="2" t="str">
        <x:v>D02：购买前搜索信号归集的语义复核</x:v>
      </x:c>
    </x:row>
    <x:row r="3" ht="26" customHeight="1">
      <x:c r="A3" s="4" t="str">
        <x:v>搜索词均为合成记录。此表同时检验意图与情感分类，不把属性、比较或功能型表达改写成产品痛点。</x:v>
      </x:c>
    </x:row>
    <x:row r="5" ht="34" customHeight="1">
      <x:c r="A5" s="10" t="str">
        <x:v>查询 ID</x:v>
      </x:c>
      <x:c r="B5" s="10" t="str">
        <x:v>月份</x:v>
      </x:c>
      <x:c r="C5" s="10" t="str">
        <x:v>合成搜索表达</x:v>
      </x:c>
      <x:c r="D5" s="10" t="str">
        <x:v>合成量级</x:v>
      </x:c>
      <x:c r="E5" s="10" t="str">
        <x:v>点击代理</x:v>
      </x:c>
      <x:c r="F5" s="10" t="str">
        <x:v>预期意图 / 情感</x:v>
      </x:c>
      <x:c r="G5" s="10" t="str">
        <x:v>实际意图 / 情感</x:v>
      </x:c>
      <x:c r="H5" s="10" t="str">
        <x:v>规则命中</x:v>
      </x:c>
      <x:c r="I5" s="10" t="str">
        <x:v>复核差异</x:v>
      </x:c>
      <x:c r="J5" s="10" t="str">
        <x:v>语义复核</x:v>
      </x:c>
    </x:row>
    <x:row r="6" ht="54" customHeight="1">
      <x:c r="A6" s="30" t="str">
        <x:v>Q001</x:v>
      </x:c>
      <x:c r="B6" s="31" t="str">
        <x:v>2026-07</x:v>
      </x:c>
      <x:c r="C6" s="31" t="str">
        <x:v>wearable breast pump leaking milk</x:v>
      </x:c>
      <x:c r="D6" s="74" t="n">
        <x:v>6200</x:v>
      </x:c>
      <x:c r="E6" s="77" t="n">
        <x:v>0.14</x:v>
      </x:c>
      <x:c r="F6" s="31" t="str">
        <x:v>intent: problem_solving；sentiment: negative_pain</x:v>
      </x:c>
      <x:c r="G6" s="31" t="str">
        <x:v>intent: problem_solving；sentiment: negative_pain</x:v>
      </x:c>
      <x:c r="H6" s="31" t="str">
        <x:v>命中</x:v>
      </x:c>
      <x:c r="I6" s="31" t="str"/>
      <x:c r="J6" s="32" t="str">
        <x:v>通过</x:v>
      </x:c>
    </x:row>
    <x:row r="7" ht="54" customHeight="1">
      <x:c r="A7" s="53" t="str">
        <x:v>Q002</x:v>
      </x:c>
      <x:c r="B7" s="54" t="str">
        <x:v>2026-07</x:v>
      </x:c>
      <x:c r="C7" s="54" t="str">
        <x:v>quiet breast pump office</x:v>
      </x:c>
      <x:c r="D7" s="75" t="n">
        <x:v>5400</x:v>
      </x:c>
      <x:c r="E7" s="78" t="n">
        <x:v>0.31</x:v>
      </x:c>
      <x:c r="F7" s="54" t="str">
        <x:v>intent: attribute；sentiment: neutral</x:v>
      </x:c>
      <x:c r="G7" s="54" t="str">
        <x:v>intent: navigational；sentiment: neutral</x:v>
      </x:c>
      <x:c r="H7" s="54" t="str">
        <x:v>未命中</x:v>
      </x:c>
      <x:c r="I7" s="54" t="str">
        <x:v>预期：intent: attribute；sentiment: neutral；实际：intent: navigational；sentiment: neutral</x:v>
      </x:c>
      <x:c r="J7" s="55" t="str">
        <x:v>未通过</x:v>
      </x:c>
    </x:row>
    <x:row r="8" ht="54" customHeight="1">
      <x:c r="A8" s="53" t="str">
        <x:v>Q003</x:v>
      </x:c>
      <x:c r="B8" s="54" t="str">
        <x:v>2026-07</x:v>
      </x:c>
      <x:c r="C8" s="54" t="str">
        <x:v>wearable pump suction too weak</x:v>
      </x:c>
      <x:c r="D8" s="75" t="n">
        <x:v>4900</x:v>
      </x:c>
      <x:c r="E8" s="78" t="n">
        <x:v>0.1</x:v>
      </x:c>
      <x:c r="F8" s="54" t="str">
        <x:v>intent: problem_solving；sentiment: negative_pain</x:v>
      </x:c>
      <x:c r="G8" s="54" t="str">
        <x:v>intent: problem_solving；sentiment: negative_pain</x:v>
      </x:c>
      <x:c r="H8" s="54" t="str">
        <x:v>命中</x:v>
      </x:c>
      <x:c r="I8" s="54" t="str"/>
      <x:c r="J8" s="55" t="str">
        <x:v>通过</x:v>
      </x:c>
    </x:row>
    <x:row r="9" ht="54" customHeight="1">
      <x:c r="A9" s="53" t="str">
        <x:v>Q004</x:v>
      </x:c>
      <x:c r="B9" s="54" t="str">
        <x:v>2026-07</x:v>
      </x:c>
      <x:c r="C9" s="54" t="str">
        <x:v>hands free breast pump spill</x:v>
      </x:c>
      <x:c r="D9" s="75" t="n">
        <x:v>4500</x:v>
      </x:c>
      <x:c r="E9" s="78" t="n">
        <x:v>0.12</x:v>
      </x:c>
      <x:c r="F9" s="54" t="str">
        <x:v>intent: problem_solving；sentiment: negative_pain</x:v>
      </x:c>
      <x:c r="G9" s="54" t="str">
        <x:v>intent: problem_solving；sentiment: negative_pain</x:v>
      </x:c>
      <x:c r="H9" s="54" t="str">
        <x:v>命中</x:v>
      </x:c>
      <x:c r="I9" s="54" t="str"/>
      <x:c r="J9" s="55" t="str">
        <x:v>通过</x:v>
      </x:c>
    </x:row>
    <x:row r="10" ht="54" customHeight="1">
      <x:c r="A10" s="53" t="str">
        <x:v>Q005</x:v>
      </x:c>
      <x:c r="B10" s="54" t="str">
        <x:v>2026-07</x:v>
      </x:c>
      <x:c r="C10" s="54" t="str">
        <x:v>comfortable wearable pump flange</x:v>
      </x:c>
      <x:c r="D10" s="75" t="n">
        <x:v>3800</x:v>
      </x:c>
      <x:c r="E10" s="78" t="n">
        <x:v>0.22</x:v>
      </x:c>
      <x:c r="F10" s="54" t="str">
        <x:v>intent: attribute；sentiment: neutral</x:v>
      </x:c>
      <x:c r="G10" s="54" t="str">
        <x:v>intent: attribute；sentiment: neutral</x:v>
      </x:c>
      <x:c r="H10" s="54" t="str">
        <x:v>未命中</x:v>
      </x:c>
      <x:c r="I10" s="54" t="str"/>
      <x:c r="J10" s="55" t="str">
        <x:v>通过</x:v>
      </x:c>
    </x:row>
    <x:row r="11" ht="54" customHeight="1">
      <x:c r="A11" s="53" t="str">
        <x:v>Q006</x:v>
      </x:c>
      <x:c r="B11" s="54" t="str">
        <x:v>2026-07</x:v>
      </x:c>
      <x:c r="C11" s="54" t="str">
        <x:v>wearable breast pump cleaning</x:v>
      </x:c>
      <x:c r="D11" s="75" t="n">
        <x:v>3200</x:v>
      </x:c>
      <x:c r="E11" s="78" t="n">
        <x:v>0.25</x:v>
      </x:c>
      <x:c r="F11" s="54" t="str">
        <x:v>intent: functional；sentiment: neutral</x:v>
      </x:c>
      <x:c r="G11" s="54" t="str">
        <x:v>intent: functional；sentiment: neutral</x:v>
      </x:c>
      <x:c r="H11" s="54" t="str">
        <x:v>未命中</x:v>
      </x:c>
      <x:c r="I11" s="54" t="str"/>
      <x:c r="J11" s="55" t="str">
        <x:v>通过</x:v>
      </x:c>
    </x:row>
    <x:row r="12" ht="54" customHeight="1">
      <x:c r="A12" s="53" t="str">
        <x:v>Q007</x:v>
      </x:c>
      <x:c r="B12" s="54" t="str">
        <x:v>2026-08</x:v>
      </x:c>
      <x:c r="C12" s="54" t="str">
        <x:v>wearable breast pump leaking milk</x:v>
      </x:c>
      <x:c r="D12" s="75" t="n">
        <x:v>6500</x:v>
      </x:c>
      <x:c r="E12" s="78" t="n">
        <x:v>0.13</x:v>
      </x:c>
      <x:c r="F12" s="54" t="str">
        <x:v>intent: problem_solving；sentiment: negative_pain</x:v>
      </x:c>
      <x:c r="G12" s="54" t="str">
        <x:v>intent: problem_solving；sentiment: negative_pain</x:v>
      </x:c>
      <x:c r="H12" s="54" t="str">
        <x:v>命中</x:v>
      </x:c>
      <x:c r="I12" s="54" t="str"/>
      <x:c r="J12" s="55" t="str">
        <x:v>通过</x:v>
      </x:c>
    </x:row>
    <x:row r="13" ht="54" customHeight="1">
      <x:c r="A13" s="53" t="str">
        <x:v>Q008</x:v>
      </x:c>
      <x:c r="B13" s="54" t="str">
        <x:v>2026-08</x:v>
      </x:c>
      <x:c r="C13" s="54" t="str">
        <x:v>silent breast pump work office</x:v>
      </x:c>
      <x:c r="D13" s="75" t="n">
        <x:v>5900</x:v>
      </x:c>
      <x:c r="E13" s="78" t="n">
        <x:v>0.29</x:v>
      </x:c>
      <x:c r="F13" s="54" t="str">
        <x:v>intent: attribute；sentiment: neutral</x:v>
      </x:c>
      <x:c r="G13" s="54" t="str">
        <x:v>intent: functional；sentiment: neutral</x:v>
      </x:c>
      <x:c r="H13" s="54" t="str">
        <x:v>未命中</x:v>
      </x:c>
      <x:c r="I13" s="54" t="str">
        <x:v>预期：intent: attribute；sentiment: neutral；实际：intent: functional；sentiment: neutral</x:v>
      </x:c>
      <x:c r="J13" s="55" t="str">
        <x:v>未通过</x:v>
      </x:c>
    </x:row>
    <x:row r="14" ht="54" customHeight="1">
      <x:c r="A14" s="53" t="str">
        <x:v>Q009</x:v>
      </x:c>
      <x:c r="B14" s="54" t="str">
        <x:v>2026-08</x:v>
      </x:c>
      <x:c r="C14" s="54" t="str">
        <x:v>wearable pump suction too weak</x:v>
      </x:c>
      <x:c r="D14" s="75" t="n">
        <x:v>5300</x:v>
      </x:c>
      <x:c r="E14" s="78" t="n">
        <x:v>0.09</x:v>
      </x:c>
      <x:c r="F14" s="54" t="str">
        <x:v>intent: problem_solving；sentiment: negative_pain</x:v>
      </x:c>
      <x:c r="G14" s="54" t="str">
        <x:v>intent: problem_solving；sentiment: negative_pain</x:v>
      </x:c>
      <x:c r="H14" s="54" t="str">
        <x:v>命中</x:v>
      </x:c>
      <x:c r="I14" s="54" t="str"/>
      <x:c r="J14" s="55" t="str">
        <x:v>通过</x:v>
      </x:c>
    </x:row>
    <x:row r="15" ht="54" customHeight="1">
      <x:c r="A15" s="53" t="str">
        <x:v>Q010</x:v>
      </x:c>
      <x:c r="B15" s="54" t="str">
        <x:v>2026-08</x:v>
      </x:c>
      <x:c r="C15" s="54" t="str">
        <x:v>hands free breast pump spill</x:v>
      </x:c>
      <x:c r="D15" s="75" t="n">
        <x:v>4700</x:v>
      </x:c>
      <x:c r="E15" s="78" t="n">
        <x:v>0.11</x:v>
      </x:c>
      <x:c r="F15" s="54" t="str">
        <x:v>intent: problem_solving；sentiment: negative_pain</x:v>
      </x:c>
      <x:c r="G15" s="54" t="str">
        <x:v>intent: problem_solving；sentiment: negative_pain</x:v>
      </x:c>
      <x:c r="H15" s="54" t="str">
        <x:v>命中</x:v>
      </x:c>
      <x:c r="I15" s="54" t="str"/>
      <x:c r="J15" s="55" t="str">
        <x:v>通过</x:v>
      </x:c>
    </x:row>
    <x:row r="16" ht="54" customHeight="1">
      <x:c r="A16" s="53" t="str">
        <x:v>Q011</x:v>
      </x:c>
      <x:c r="B16" s="54" t="str">
        <x:v>2026-08</x:v>
      </x:c>
      <x:c r="C16" s="54" t="str">
        <x:v>wearable pump flange size</x:v>
      </x:c>
      <x:c r="D16" s="75" t="n">
        <x:v>4100</x:v>
      </x:c>
      <x:c r="E16" s="78" t="n">
        <x:v>0.19</x:v>
      </x:c>
      <x:c r="F16" s="54" t="str">
        <x:v>intent: attribute；sentiment: neutral</x:v>
      </x:c>
      <x:c r="G16" s="54" t="str">
        <x:v>intent: attribute；sentiment: neutral</x:v>
      </x:c>
      <x:c r="H16" s="54" t="str">
        <x:v>未命中</x:v>
      </x:c>
      <x:c r="I16" s="54" t="str"/>
      <x:c r="J16" s="55" t="str">
        <x:v>通过</x:v>
      </x:c>
    </x:row>
    <x:row r="17" ht="54" customHeight="1">
      <x:c r="A17" s="53" t="str">
        <x:v>Q012</x:v>
      </x:c>
      <x:c r="B17" s="54" t="str">
        <x:v>2026-08</x:v>
      </x:c>
      <x:c r="C17" s="54" t="str">
        <x:v>best wearable breast pump</x:v>
      </x:c>
      <x:c r="D17" s="75" t="n">
        <x:v>7600</x:v>
      </x:c>
      <x:c r="E17" s="78" t="n">
        <x:v>0.35</x:v>
      </x:c>
      <x:c r="F17" s="54" t="str">
        <x:v>intent: comparison；sentiment: positive_expectation</x:v>
      </x:c>
      <x:c r="G17" s="54" t="str">
        <x:v>intent: comparison；sentiment: positive_expectation</x:v>
      </x:c>
      <x:c r="H17" s="54" t="str">
        <x:v>未命中</x:v>
      </x:c>
      <x:c r="I17" s="54" t="str"/>
      <x:c r="J17" s="55" t="str">
        <x:v>通过</x:v>
      </x:c>
    </x:row>
    <x:row r="18" ht="54" customHeight="1">
      <x:c r="A18" s="53" t="str">
        <x:v>Q013</x:v>
      </x:c>
      <x:c r="B18" s="54" t="str">
        <x:v>2026-09</x:v>
      </x:c>
      <x:c r="C18" s="54" t="str">
        <x:v>wearable breast pump leaking milk</x:v>
      </x:c>
      <x:c r="D18" s="75" t="n">
        <x:v>6800</x:v>
      </x:c>
      <x:c r="E18" s="78" t="n">
        <x:v>0.12</x:v>
      </x:c>
      <x:c r="F18" s="54" t="str">
        <x:v>intent: problem_solving；sentiment: negative_pain</x:v>
      </x:c>
      <x:c r="G18" s="54" t="str">
        <x:v>intent: problem_solving；sentiment: negative_pain</x:v>
      </x:c>
      <x:c r="H18" s="54" t="str">
        <x:v>命中</x:v>
      </x:c>
      <x:c r="I18" s="54" t="str"/>
      <x:c r="J18" s="55" t="str">
        <x:v>通过</x:v>
      </x:c>
    </x:row>
    <x:row r="19" ht="54" customHeight="1">
      <x:c r="A19" s="53" t="str">
        <x:v>Q014</x:v>
      </x:c>
      <x:c r="B19" s="54" t="str">
        <x:v>2026-09</x:v>
      </x:c>
      <x:c r="C19" s="54" t="str">
        <x:v>quiet breast pump office</x:v>
      </x:c>
      <x:c r="D19" s="75" t="n">
        <x:v>5600</x:v>
      </x:c>
      <x:c r="E19" s="78" t="n">
        <x:v>0.3</x:v>
      </x:c>
      <x:c r="F19" s="54" t="str">
        <x:v>intent: attribute；sentiment: neutral</x:v>
      </x:c>
      <x:c r="G19" s="54" t="str">
        <x:v>intent: navigational；sentiment: neutral</x:v>
      </x:c>
      <x:c r="H19" s="54" t="str">
        <x:v>未命中</x:v>
      </x:c>
      <x:c r="I19" s="54" t="str">
        <x:v>预期：intent: attribute；sentiment: neutral；实际：intent: navigational；sentiment: neutral</x:v>
      </x:c>
      <x:c r="J19" s="55" t="str">
        <x:v>未通过</x:v>
      </x:c>
    </x:row>
    <x:row r="20" ht="54" customHeight="1">
      <x:c r="A20" s="53" t="str">
        <x:v>Q015</x:v>
      </x:c>
      <x:c r="B20" s="54" t="str">
        <x:v>2026-09</x:v>
      </x:c>
      <x:c r="C20" s="54" t="str">
        <x:v>wearable pump suction too weak</x:v>
      </x:c>
      <x:c r="D20" s="75" t="n">
        <x:v>5100</x:v>
      </x:c>
      <x:c r="E20" s="78" t="n">
        <x:v>0.1</x:v>
      </x:c>
      <x:c r="F20" s="54" t="str">
        <x:v>intent: problem_solving；sentiment: negative_pain</x:v>
      </x:c>
      <x:c r="G20" s="54" t="str">
        <x:v>intent: problem_solving；sentiment: negative_pain</x:v>
      </x:c>
      <x:c r="H20" s="54" t="str">
        <x:v>命中</x:v>
      </x:c>
      <x:c r="I20" s="54" t="str"/>
      <x:c r="J20" s="55" t="str">
        <x:v>通过</x:v>
      </x:c>
    </x:row>
    <x:row r="21" ht="54" customHeight="1">
      <x:c r="A21" s="53" t="str">
        <x:v>Q016</x:v>
      </x:c>
      <x:c r="B21" s="54" t="str">
        <x:v>2026-09</x:v>
      </x:c>
      <x:c r="C21" s="54" t="str">
        <x:v>hands free breast pump spill</x:v>
      </x:c>
      <x:c r="D21" s="75" t="n">
        <x:v>4800</x:v>
      </x:c>
      <x:c r="E21" s="78" t="n">
        <x:v>0.1</x:v>
      </x:c>
      <x:c r="F21" s="54" t="str">
        <x:v>intent: problem_solving；sentiment: negative_pain</x:v>
      </x:c>
      <x:c r="G21" s="54" t="str">
        <x:v>intent: problem_solving；sentiment: negative_pain</x:v>
      </x:c>
      <x:c r="H21" s="54" t="str">
        <x:v>命中</x:v>
      </x:c>
      <x:c r="I21" s="54" t="str"/>
      <x:c r="J21" s="55" t="str">
        <x:v>通过</x:v>
      </x:c>
    </x:row>
    <x:row r="22" ht="54" customHeight="1">
      <x:c r="A22" s="53" t="str">
        <x:v>Q017</x:v>
      </x:c>
      <x:c r="B22" s="54" t="str">
        <x:v>2026-09</x:v>
      </x:c>
      <x:c r="C22" s="54" t="str">
        <x:v>wearable breast pump battery life</x:v>
      </x:c>
      <x:c r="D22" s="75" t="n">
        <x:v>3900</x:v>
      </x:c>
      <x:c r="E22" s="78" t="n">
        <x:v>0.24</x:v>
      </x:c>
      <x:c r="F22" s="54" t="str">
        <x:v>intent: attribute；sentiment: neutral</x:v>
      </x:c>
      <x:c r="G22" s="54" t="str">
        <x:v>intent: attribute；sentiment: neutral</x:v>
      </x:c>
      <x:c r="H22" s="54" t="str">
        <x:v>未命中</x:v>
      </x:c>
      <x:c r="I22" s="54" t="str"/>
      <x:c r="J22" s="55" t="str">
        <x:v>通过</x:v>
      </x:c>
    </x:row>
    <x:row r="23" ht="54" customHeight="1">
      <x:c r="A23" s="33" t="str">
        <x:v>Q018</x:v>
      </x:c>
      <x:c r="B23" s="34" t="str">
        <x:v>2026-09</x:v>
      </x:c>
      <x:c r="C23" s="34" t="str">
        <x:v>breast pump return policy</x:v>
      </x:c>
      <x:c r="D23" s="76" t="n">
        <x:v>2900</x:v>
      </x:c>
      <x:c r="E23" s="79" t="n">
        <x:v>0.18</x:v>
      </x:c>
      <x:c r="F23" s="34" t="str">
        <x:v>intent: navigational；sentiment: neutral</x:v>
      </x:c>
      <x:c r="G23" s="34" t="str">
        <x:v>intent: navigational；sentiment: neutral</x:v>
      </x:c>
      <x:c r="H23" s="34" t="str">
        <x:v>未命中</x:v>
      </x:c>
      <x:c r="I23" s="34" t="str"/>
      <x:c r="J23" s="35" t="str">
        <x:v>通过</x:v>
      </x:c>
    </x:row>
    <x:row r="26" ht="48" customHeight="1">
      <x:c r="A26" s="64" t="str">
        <x:v>D02 本轮结论</x:v>
      </x:c>
      <x:c r="B26" s="67" t="str">
        <x:v>精确匹配 15/18（83.3%），低于 90% 门槛。office/work 场景词的规则顺序导致分类不稳定。</x:v>
      </x:c>
      <x:c r="C26" s="67"/>
      <x:c r="D26" s="67"/>
      <x:c r="E26" s="67"/>
      <x:c r="F26" s="67"/>
      <x:c r="G26" s="67"/>
      <x:c r="H26" s="67"/>
      <x:c r="I26" s="67"/>
      <x:c r="J26" s="67"/>
    </x:row>
  </x:sheetData>
  <x:mergeCells>
    <x:mergeCell ref="B26:J26"/>
  </x:mergeCells>
  <x:conditionalFormatting sqref="J6:J23">
    <x:cfRule type="containsText" dxfId="3" priority="1" operator="containsText" text="未通过"/>
  </x:conditionalFormatting>
  <x:conditionalFormatting sqref="H6:H23">
    <x:cfRule type="containsText" dxfId="4" priority="2" operator="containsText" text="命中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A5D1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57" hidden="0" customWidth="1"/>
    <x:col min="3" max="3" width="57" hidden="0" customWidth="1"/>
  </x:cols>
  <x:sheetData>
    <x:row r="2" ht="28" customHeight="1">
      <x:c r="A2" s="2" t="str">
        <x:v>证据链与下一关</x:v>
      </x:c>
    </x:row>
    <x:row r="3" ht="26" customHeight="1">
      <x:c r="A3" s="4" t="str">
        <x:v>把已验证的交付契约、未通过的语义质量闸口、真实样本前的工作和不可作出的结论分开。 </x:v>
      </x:c>
    </x:row>
    <x:row r="5" ht="46" customHeight="1">
      <x:c r="A5" s="10" t="str">
        <x:v>检查项</x:v>
      </x:c>
      <x:c r="B5" s="10" t="str">
        <x:v>本轮可确认事实</x:v>
      </x:c>
      <x:c r="C5" s="10" t="str">
        <x:v>对下一关的影响</x:v>
      </x:c>
    </x:row>
    <x:row r="6" ht="46" customHeight="1">
      <x:c r="A6" s="30" t="str">
        <x:v>样本性质</x:v>
      </x:c>
      <x:c r="B6" s="31" t="str">
        <x:v>24 条评论与 18 条搜索信号均为合成受控数据。</x:v>
      </x:c>
      <x:c r="C6" s="32" t="str">
        <x:v>不能外推为真实消费者、市场或品牌结论。</x:v>
      </x:c>
    </x:row>
    <x:row r="7" ht="46" customHeight="1">
      <x:c r="A7" s="53" t="str">
        <x:v>D01 原始实现</x:v>
      </x:c>
      <x:c r="B7" s="54" t="str">
        <x:v>已只读运行；实现版本指纹 cb724d3de888。</x:v>
      </x:c>
      <x:c r="C7" s="55" t="str">
        <x:v>交付链可回溯，但 14/24 语义精确匹配未达门槛。</x:v>
      </x:c>
    </x:row>
    <x:row r="8" ht="46" customHeight="1">
      <x:c r="A8" s="53" t="str">
        <x:v>D02 原始实现</x:v>
      </x:c>
      <x:c r="B8" s="54" t="str">
        <x:v>已只读运行；实现版本指纹 922d6ecec721。</x:v>
      </x:c>
      <x:c r="C8" s="55" t="str">
        <x:v>交付链可回溯，但 15/18 语义精确匹配未达门槛。</x:v>
      </x:c>
    </x:row>
    <x:row r="9" ht="46" customHeight="1">
      <x:c r="A9" s="53" t="str">
        <x:v>交付契约</x:v>
      </x:c>
      <x:c r="B9" s="54" t="str">
        <x:v>4/4 项检查通过。</x:v>
      </x:c>
      <x:c r="C9" s="55" t="str">
        <x:v>可继续修复候选实现，不能跳过质量闸口进入真实数据。</x:v>
      </x:c>
    </x:row>
    <x:row r="10" ht="46" customHeight="1">
      <x:c r="A10" s="33" t="str">
        <x:v>C-018 对齐</x:v>
      </x:c>
      <x:c r="B10" s="34" t="str">
        <x:v>支持、反证、未映射和来源 ID 均可被展示。</x:v>
      </x:c>
      <x:c r="C10" s="35" t="str">
        <x:v>修复后才可用真实、授权且说明范围的数据形成需求证据与问题地图。</x:v>
      </x:c>
    </x:row>
    <x:row r="13" ht="54" customHeight="1">
      <x:c r="A13" s="10" t="str">
        <x:v>进入真实样本前必须完成</x:v>
      </x:c>
      <x:c r="B13" s="10" t="str">
        <x:v>说明</x:v>
      </x:c>
      <x:c r="C13" s="10" t="str">
        <x:v>完成判据</x:v>
      </x:c>
    </x:row>
    <x:row r="14" ht="54" customHeight="1">
      <x:c r="A14" s="30" t="str">
        <x:v>修复 D01 方面与窗口策略</x:v>
      </x:c>
      <x:c r="B14" s="31" t="str">
        <x:v>限制情感词在局部方面窗口内的作用，清除误挂方面。</x:v>
      </x:c>
      <x:c r="C14" s="32" t="str">
        <x:v>人工标注验证集上的语义精确匹配达到预设门槛。</x:v>
      </x:c>
    </x:row>
    <x:row r="15" ht="54" customHeight="1">
      <x:c r="A15" s="53" t="str">
        <x:v>修复 D02 意图分类</x:v>
      </x:c>
      <x:c r="B15" s="54" t="str">
        <x:v>将场景词、功能词与属性词拆开，复核规则优先顺序。</x:v>
      </x:c>
      <x:c r="C15" s="55" t="str">
        <x:v>不再把 quiet/silent + office/work 类场景词误归。</x:v>
      </x:c>
    </x:row>
    <x:row r="16" ht="54" customHeight="1">
      <x:c r="A16" s="53" t="str">
        <x:v>补齐品类方面表</x:v>
      </x:c>
      <x:c r="B16" s="54" t="str">
        <x:v>新增防漏、会话记录等当前未映射主题，并定义例外处理。</x:v>
      </x:c>
      <x:c r="C16" s="55" t="str">
        <x:v>未映射记录有可复核的转交或新增方面决策。</x:v>
      </x:c>
    </x:row>
    <x:row r="17" ht="54" customHeight="1">
      <x:c r="A17" s="53" t="str">
        <x:v>取得真实数据授权</x:v>
      </x:c>
      <x:c r="B17" s="54" t="str">
        <x:v>说明来源、市场、语言、时间窗、去重与抽样规则。</x:v>
      </x:c>
      <x:c r="C17" s="55" t="str">
        <x:v>数据可合法使用，且能追溯到原记录。</x:v>
      </x:c>
    </x:row>
    <x:row r="18" ht="54" customHeight="1">
      <x:c r="A18" s="33" t="str">
        <x:v>交叉证据复核</x:v>
      </x:c>
      <x:c r="B18" s="34" t="str">
        <x:v>让评论、搜索、访谈或其他证据并列，保留冲突与未知。</x:v>
      </x:c>
      <x:c r="C18" s="35" t="str">
        <x:v>C-018 的来源、范围、支持、反证和未知均完整。</x:v>
      </x:c>
    </x:row>
    <x:row r="22" ht="48" customHeight="1">
      <x:c r="A22" s="86" t="str">
        <x:v>本轮明确不作出的结论</x:v>
      </x:c>
      <x:c r="B22" s="87" t="str">
        <x:v>不代表真实消费者偏好、市场规模、品牌或品类问题。</x:v>
      </x:c>
      <x:c r="C22" s="88" t="str">
        <x:v>不构成产品定义、投入优先级、发布、采购、投放、岗位任命或业务授权。</x:v>
      </x:c>
    </x:row>
  </x:sheetData>
  <x:pageMargins left="0.7" right="0.7" top="0.75" bottom="0.75" header="0.3" footer="0.3"/>
</x:worksheet>
</file>