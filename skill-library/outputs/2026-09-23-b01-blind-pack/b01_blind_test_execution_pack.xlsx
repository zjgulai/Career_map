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b964ff839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盲测执行总览" sheetId="1" r:id="R649fe6afad314c1c"/>
    <x:sheet xmlns:r="http://schemas.openxmlformats.org/officeDocument/2006/relationships" name="盲测输入目录" sheetId="2" r:id="R801e1e28ec5246cd"/>
    <x:sheet xmlns:r="http://schemas.openxmlformats.org/officeDocument/2006/relationships" name="评分与关卡" sheetId="3" r:id="R5cc7413c95494deb"/>
    <x:sheet xmlns:r="http://schemas.openxmlformats.org/officeDocument/2006/relationships" name="执行登记" sheetId="4" r:id="R085670489a35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9">
    <x:font>
      <x:sz val="11"/>
      <x:name val="Carlito"/>
    </x:font>
    <x:font>
      <x:b/>
      <x:sz val="15"/>
      <x:color rgb="FF2B2527"/>
      <x:name val="Arial"/>
    </x:font>
    <x:font>
      <x:i/>
      <x:sz val="10"/>
      <x:color rgb="FF6F6362"/>
      <x:name val="Arial"/>
    </x:font>
    <x:font>
      <x:b/>
      <x:sz val="10"/>
      <x:color rgb="FFFFFFFF"/>
      <x:name val="Arial"/>
    </x:font>
    <x:font>
      <x:sz val="10"/>
      <x:color rgb="FF2B2527"/>
      <x:name val="Arial"/>
    </x:font>
    <x:font>
      <x:b/>
      <x:sz val="10"/>
      <x:color rgb="FF2F6957"/>
      <x:name val="Arial"/>
    </x:font>
    <x:font>
      <x:b/>
      <x:sz val="10"/>
      <x:color rgb="FF7A5D19"/>
      <x:name val="Arial"/>
    </x:font>
    <x:font>
      <x:b/>
      <x:sz val="10"/>
      <x:color rgb="FFA73535"/>
      <x:name val="Arial"/>
    </x:font>
    <x:font>
      <x:b/>
      <x:sz val="10"/>
      <x:color rgb="FF2B252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87062"/>
      </x:patternFill>
    </x:fill>
    <x:fill>
      <x:patternFill patternType="solid">
        <x:fgColor rgb="FFEEF8F3"/>
      </x:patternFill>
    </x:fill>
    <x:fill>
      <x:patternFill patternType="solid">
        <x:fgColor rgb="FFFFF8E4"/>
      </x:patternFill>
    </x:fill>
    <x:fill>
      <x:patternFill patternType="solid">
        <x:fgColor rgb="FFFDEEEE"/>
      </x:patternFill>
    </x:fill>
    <x:fill>
      <x:patternFill patternType="solid">
        <x:fgColor rgb="FFFFF1EB"/>
      </x:patternFill>
    </x:fill>
    <x:fill>
      <x:patternFill patternType="solid">
        <x:fgColor rgb="FFFFF9F5"/>
      </x:patternFill>
    </x:fill>
  </x:fills>
  <x:borders count="18">
    <x:border/>
    <x:border>
      <x:bottom style="thin">
        <x:color rgb="FFB87062"/>
      </x:bottom>
    </x:border>
    <x:border>
      <x:left style="thin">
        <x:color rgb="FFB87062"/>
      </x:left>
      <x:top style="thin">
        <x:color rgb="FFB87062"/>
      </x:top>
      <x:bottom style="thin">
        <x:color rgb="FFB87062"/>
      </x:bottom>
    </x:border>
    <x:border>
      <x:top style="thin">
        <x:color rgb="FFB87062"/>
      </x:top>
      <x:bottom style="thin">
        <x:color rgb="FFB87062"/>
      </x:bottom>
    </x:border>
    <x:border>
      <x:right style="thin">
        <x:color rgb="FFB87062"/>
      </x:right>
      <x:top style="thin">
        <x:color rgb="FFB87062"/>
      </x:top>
      <x:bottom style="thin">
        <x:color rgb="FFB87062"/>
      </x:bottom>
    </x:border>
    <x:border>
      <x:left style="thin">
        <x:color rgb="FFE1D8D3"/>
      </x:left>
      <x:top style="thin">
        <x:color rgb="FFE1D8D3"/>
      </x:top>
    </x:border>
    <x:border>
      <x:top style="thin">
        <x:color rgb="FFE1D8D3"/>
      </x:top>
    </x:border>
    <x:border>
      <x:right style="thin">
        <x:color rgb="FFE1D8D3"/>
      </x:right>
      <x:top style="thin">
        <x:color rgb="FFE1D8D3"/>
      </x:top>
    </x:border>
    <x:border>
      <x:left style="thin">
        <x:color rgb="FFE1D8D3"/>
      </x:left>
    </x:border>
    <x:border>
      <x:right style="thin">
        <x:color rgb="FFE1D8D3"/>
      </x:right>
    </x:border>
    <x:border>
      <x:left style="thin">
        <x:color rgb="FFE1D8D3"/>
      </x:left>
      <x:bottom style="thin">
        <x:color rgb="FFE1D8D3"/>
      </x:bottom>
    </x:border>
    <x:border>
      <x:bottom style="thin">
        <x:color rgb="FFE1D8D3"/>
      </x:bottom>
    </x:border>
    <x:border>
      <x:right style="thin">
        <x:color rgb="FFE1D8D3"/>
      </x:right>
      <x:bottom style="thin">
        <x:color rgb="FFE1D8D3"/>
      </x:bottom>
    </x:border>
    <x:border>
      <x:left style="thin">
        <x:color rgb="FFE8B9B4"/>
      </x:left>
      <x:top style="thin">
        <x:color rgb="FFE8B9B4"/>
      </x:top>
      <x:bottom style="thin">
        <x:color rgb="FFE8B9B4"/>
      </x:bottom>
    </x:border>
    <x:border>
      <x:top style="thin">
        <x:color rgb="FFE8B9B4"/>
      </x:top>
      <x:bottom style="thin">
        <x:color rgb="FFE8B9B4"/>
      </x:bottom>
    </x:border>
    <x:border>
      <x:right style="thin">
        <x:color rgb="FFE8B9B4"/>
      </x:right>
      <x:top style="thin">
        <x:color rgb="FFE8B9B4"/>
      </x:top>
      <x:bottom style="thin">
        <x:color rgb="FFE8B9B4"/>
      </x:bottom>
    </x:border>
    <x:border>
      <x:left style="thin">
        <x:color rgb="FFE1D8D3"/>
      </x:left>
      <x:top style="medium">
        <x:color rgb="FFB87062"/>
      </x:top>
    </x:border>
    <x:border>
      <x:top style="medium">
        <x:color rgb="FFB87062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4" xfId="0" applyNumberFormat="1" applyFont="1" applyFill="1" applyBorder="1" applyAlignment="1">
      <x:alignment vertical="top" wrapText="1"/>
    </x:xf>
    <x:xf numFmtId="0" fontId="7" fillId="5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8" fillId="6" borderId="4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1" fontId="4" fillId="0" borderId="12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200" fontId="4" fillId="7" borderId="17" xfId="0" applyNumberFormat="1" applyFont="1" applyFill="1" applyBorder="1" applyAlignment="1">
      <x:alignment vertical="top" wrapText="1"/>
    </x:xf>
    <x:xf numFmtId="201" fontId="4" fillId="7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A5D19"/>
      </x:font>
      <x:fill>
        <x:patternFill patternType="solid">
          <x:bgColor rgb="FFFFF8E4"/>
        </x:patternFill>
      </x:fill>
    </x:dxf>
    <x:dxf>
      <x:font>
        <x:b/>
        <x:color rgb="FFA73535"/>
      </x:font>
      <x:fill>
        <x:patternFill patternType="solid">
          <x:bgColor rgb="FFFD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5e4ee44dd4d62" /><Relationship Type="http://schemas.openxmlformats.org/officeDocument/2006/relationships/theme" Target="/xl/theme/theme1.xml" Id="R71ca9260a3f348b2" /><Relationship Type="http://schemas.openxmlformats.org/officeDocument/2006/relationships/sharedStrings" Target="/xl/sharedStrings.xml" Id="R6531eb17c6de43bc" /><Relationship Type="http://schemas.openxmlformats.org/officeDocument/2006/relationships/worksheet" Target="/xl/worksheets/sheet1.xml" Id="R649fe6afad314c1c" /><Relationship Type="http://schemas.openxmlformats.org/officeDocument/2006/relationships/worksheet" Target="/xl/worksheets/sheet2.xml" Id="R801e1e28ec5246cd" /><Relationship Type="http://schemas.openxmlformats.org/officeDocument/2006/relationships/worksheet" Target="/xl/worksheets/sheet3.xml" Id="R5cc7413c95494deb" /><Relationship Type="http://schemas.openxmlformats.org/officeDocument/2006/relationships/worksheet" Target="/xl/worksheets/sheet4.xml" Id="R085670489a3545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87062"/>
  </x:sheetPr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24" hidden="0" customWidth="1"/>
    <x:col min="4" max="4" width="55" hidden="0" customWidth="1"/>
    <x:col min="5" max="5" width="40" hidden="0" customWidth="1"/>
  </x:cols>
  <x:sheetData>
    <x:row r="2">
      <x:c r="A2" s="1" t="str">
        <x:v>B01 独立盲测执行包</x:v>
      </x:c>
    </x:row>
    <x:row r="3" ht="46" customHeight="1">
      <x:c r="A3" s="3" t="str">
        <x:v>当前状态：待独立评审。此表帮助交接和记录，不展示金标，也不产生盲测结论。</x:v>
      </x:c>
    </x:row>
    <x:row r="4">
      <x:c r="A4" s="4"/>
      <x:c r="B4" s="4"/>
      <x:c r="C4" s="4"/>
      <x:c r="D4" s="4"/>
      <x:c r="E4" s="4"/>
    </x:row>
    <x:row r="5" ht="30" customHeight="1">
      <x:c r="A5" s="16" t="str">
        <x:v>关键项</x:v>
      </x:c>
      <x:c r="B5" s="17" t="str">
        <x:v>当前状态</x:v>
      </x:c>
      <x:c r="C5" s="17" t="str">
        <x:v>数量或门槛</x:v>
      </x:c>
      <x:c r="D5" s="17" t="str">
        <x:v>业务含义</x:v>
      </x:c>
      <x:c r="E5" s="18" t="str">
        <x:v>下一步</x:v>
      </x:c>
    </x:row>
    <x:row r="6" ht="46" customHeight="1">
      <x:c r="A6" s="37" t="str">
        <x:v>盲测协议</x:v>
      </x:c>
      <x:c r="B6" s="38" t="str">
        <x:v>B01-BLIND-01</x:v>
      </x:c>
      <x:c r="C6" s="38" t="str">
        <x:v>固定</x:v>
      </x:c>
      <x:c r="D6" s="38" t="str">
        <x:v>只检查 D01/D02 在独立合成输入上的语义与规则边界。</x:v>
      </x:c>
      <x:c r="E6" s="39" t="str">
        <x:v>按协议执行，不改写输入或门槛。</x:v>
      </x:c>
    </x:row>
    <x:row r="7" ht="46" customHeight="1">
      <x:c r="A7" s="40" t="str">
        <x:v>D01 合成评论</x:v>
      </x:c>
      <x:c r="B7" s="41" t="str">
        <x:v>已准备</x:v>
      </x:c>
      <x:c r="C7" s="49" t="n">
        <x:f>COUNTIFS('盲测输入目录'!B6:B93,"D01")</x:f>
        <x:v>48</x:v>
      </x:c>
      <x:c r="D7" s="41" t="str">
        <x:v>检验方面、局部情感、转折和未知主题是否保留。</x:v>
      </x:c>
      <x:c r="E7" s="42" t="str">
        <x:v>由独立执行人逐条运行候选。</x:v>
      </x:c>
    </x:row>
    <x:row r="8" ht="46" customHeight="1">
      <x:c r="A8" s="40" t="str">
        <x:v>D02 合成搜索表达</x:v>
      </x:c>
      <x:c r="B8" s="41" t="str">
        <x:v>已准备</x:v>
      </x:c>
      <x:c r="C8" s="49" t="n">
        <x:f>COUNTIFS('盲测输入目录'!B6:B93,"D02")</x:f>
        <x:v>40</x:v>
      </x:c>
      <x:c r="D8" s="41" t="str">
        <x:v>检验意图优先级、问题边界和机会规则阈值。</x:v>
      </x:c>
      <x:c r="E8" s="42" t="str">
        <x:v>由独立执行人逐条运行候选。</x:v>
      </x:c>
    </x:row>
    <x:row r="9" ht="46" customHeight="1">
      <x:c r="A9" s="40" t="str">
        <x:v>拟议金标</x:v>
      </x:c>
      <x:c r="B9" s="54" t="str">
        <x:v>待独立复核并锁定</x:v>
      </x:c>
      <x:c r="C9" s="41" t="str">
        <x:v>未展示</x:v>
      </x:c>
      <x:c r="D9" s="41" t="str">
        <x:v>金标不能由当前实现或原有标签设计者自行确认。</x:v>
      </x:c>
      <x:c r="E9" s="42" t="str">
        <x:v>独立复核后登记指纹和锁定时间。</x:v>
      </x:c>
    </x:row>
    <x:row r="10" ht="46" customHeight="1">
      <x:c r="A10" s="40" t="str">
        <x:v>候选输出</x:v>
      </x:c>
      <x:c r="B10" s="54" t="str">
        <x:v>待独立执行</x:v>
      </x:c>
      <x:c r="C10" s="41" t="str">
        <x:v>必须覆盖全部输入</x:v>
      </x:c>
      <x:c r="D10" s="41" t="str">
        <x:v>没有逐条 ID 与候选版本指纹的结果不可评分。</x:v>
      </x:c>
      <x:c r="E10" s="42" t="str">
        <x:v>使用提交模板填写完整输出。</x:v>
      </x:c>
    </x:row>
    <x:row r="11" ht="46" customHeight="1">
      <x:c r="A11" s="40" t="str">
        <x:v>脚本评分</x:v>
      </x:c>
      <x:c r="B11" s="54" t="str">
        <x:v>待独立复核</x:v>
      </x:c>
      <x:c r="C11" s="41" t="str">
        <x:v>D01/D02 语义至少 90%；D02 规则 100%</x:v>
      </x:c>
      <x:c r="D11" s="41" t="str">
        <x:v>评分通过只说明下一步可以设计真实样本数据合同。</x:v>
      </x:c>
      <x:c r="E11" s="42" t="str">
        <x:v>锁定金标后运行评分脚本。</x:v>
      </x:c>
    </x:row>
    <x:row r="12" ht="46" customHeight="1">
      <x:c r="A12" s="43" t="str">
        <x:v>真实样本</x:v>
      </x:c>
      <x:c r="B12" s="57" t="str">
        <x:v>未授权</x:v>
      </x:c>
      <x:c r="C12" s="44" t="str">
        <x:v>0 条</x:v>
      </x:c>
      <x:c r="D12" s="44" t="str">
        <x:v>本包全部为合成数据，不能替代消费者证据。</x:v>
      </x:c>
      <x:c r="E12" s="45" t="str">
        <x:v>盲测通过后另行设计数据合同。</x:v>
      </x:c>
    </x:row>
    <x:row r="14" ht="48" customHeight="1">
      <x:c r="A14" s="66" t="str">
        <x:v>本轮明确边界</x:v>
      </x:c>
      <x:c r="B14" s="67" t="str">
        <x:v>不接入真实数据；不做消费者、市场、经营或任命结论。</x:v>
      </x:c>
      <x:c r="C14" s="67" t="str"/>
      <x:c r="D14" s="67" t="str"/>
      <x:c r="E14" s="68" t="str"/>
    </x:row>
    <x:row r="16" ht="50" customHeight="1">
      <x:c r="A16" s="77" t="str">
        <x:v>使用提示</x:v>
      </x:c>
      <x:c r="B16" s="78" t="str">
        <x:v>金标和锁定记录不应在执行人可访问的交接视图中展开。当前本地文件夹无技术隔离，独立性依赖实际交接、角色分离与执行记录。</x:v>
      </x:c>
      <x:c r="C16" s="78" t="str"/>
      <x:c r="D16" s="78" t="str"/>
      <x:c r="E16" s="7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9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22" hidden="0" customWidth="1"/>
    <x:col min="5" max="5" width="66" hidden="0" customWidth="1"/>
    <x:col min="6" max="6" width="12" hidden="0" customWidth="1"/>
    <x:col min="7" max="7" width="13" hidden="0" customWidth="1"/>
    <x:col min="8" max="8" width="12" hidden="0" customWidth="1"/>
  </x:cols>
  <x:sheetData>
    <x:row r="2">
      <x:c r="A2" s="1" t="str">
        <x:v>B01 盲测输入目录</x:v>
      </x:c>
    </x:row>
    <x:row r="3" ht="30" customHeight="1">
      <x:c r="A3" s="3" t="str">
        <x:v>仅展示合成输入与覆盖设计。预期标签位于独立金标文件，不写入本工作簿。</x:v>
      </x:c>
    </x:row>
    <x:row r="4">
      <x:c r="A4" s="4"/>
      <x:c r="B4" s="4"/>
      <x:c r="C4" s="4"/>
      <x:c r="D4" s="4"/>
      <x:c r="E4" s="4"/>
      <x:c r="F4" s="4"/>
      <x:c r="G4" s="4"/>
      <x:c r="H4" s="4"/>
    </x:row>
    <x:row r="5" ht="32" customHeight="1">
      <x:c r="A5" s="16" t="str">
        <x:v>记录 ID</x:v>
      </x:c>
      <x:c r="B5" s="17" t="str">
        <x:v>试题类型</x:v>
      </x:c>
      <x:c r="C5" s="17" t="str">
        <x:v>覆盖维度</x:v>
      </x:c>
      <x:c r="D5" s="17" t="str">
        <x:v>检查重点</x:v>
      </x:c>
      <x:c r="E5" s="17" t="str">
        <x:v>输入文本</x:v>
      </x:c>
      <x:c r="F5" s="17" t="str">
        <x:v>月份</x:v>
      </x:c>
      <x:c r="G5" s="17" t="str">
        <x:v>合成量级</x:v>
      </x:c>
      <x:c r="H5" s="18" t="str">
        <x:v>点击代理</x:v>
      </x:c>
    </x:row>
    <x:row r="6" ht="42" customHeight="1">
      <x:c r="A6" s="37" t="str">
        <x:v>BR001</x:v>
      </x:c>
      <x:c r="B6" s="38" t="str">
        <x:v>D01</x:v>
      </x:c>
      <x:c r="C6" s="38" t="str">
        <x:v>噪音</x:v>
      </x:c>
      <x:c r="D6" s="38" t="str">
        <x:v>直接正向</x:v>
      </x:c>
      <x:c r="E6" s="38" t="str">
        <x:v>The motor stayed quiet through an afternoon nap.</x:v>
      </x:c>
      <x:c r="F6" s="38" t="str"/>
      <x:c r="G6" s="38" t="str"/>
      <x:c r="H6" s="39" t="str"/>
    </x:row>
    <x:row r="7" ht="42" customHeight="1">
      <x:c r="A7" s="40" t="str">
        <x:v>BR002</x:v>
      </x:c>
      <x:c r="B7" s="41" t="str">
        <x:v>D01</x:v>
      </x:c>
      <x:c r="C7" s="41" t="str">
        <x:v>噪音</x:v>
      </x:c>
      <x:c r="D7" s="41" t="str">
        <x:v>直接负向</x:v>
      </x:c>
      <x:c r="E7" s="41" t="str">
        <x:v>This pump is loud enough to interrupt a phone call.</x:v>
      </x:c>
      <x:c r="F7" s="41" t="str"/>
      <x:c r="G7" s="41" t="str"/>
      <x:c r="H7" s="42" t="str"/>
    </x:row>
    <x:row r="8" ht="42" customHeight="1">
      <x:c r="A8" s="40" t="str">
        <x:v>BR003</x:v>
      </x:c>
      <x:c r="B8" s="41" t="str">
        <x:v>D01</x:v>
      </x:c>
      <x:c r="C8" s="41" t="str">
        <x:v>噪音</x:v>
      </x:c>
      <x:c r="D8" s="41" t="str">
        <x:v>局部否定</x:v>
      </x:c>
      <x:c r="E8" s="41" t="str">
        <x:v>It is not noisy in the nursery.</x:v>
      </x:c>
      <x:c r="F8" s="41" t="str"/>
      <x:c r="G8" s="41" t="str"/>
      <x:c r="H8" s="42" t="str"/>
    </x:row>
    <x:row r="9" ht="42" customHeight="1">
      <x:c r="A9" s="40" t="str">
        <x:v>BR004</x:v>
      </x:c>
      <x:c r="B9" s="41" t="str">
        <x:v>D01</x:v>
      </x:c>
      <x:c r="C9" s="41" t="str">
        <x:v>噪音</x:v>
      </x:c>
      <x:c r="D9" s="41" t="str">
        <x:v>转折与双方面</x:v>
      </x:c>
      <x:c r="E9" s="41" t="str">
        <x:v>The pump stays quiet, but the suction feels weak by the end.</x:v>
      </x:c>
      <x:c r="F9" s="41" t="str"/>
      <x:c r="G9" s="41" t="str"/>
      <x:c r="H9" s="42" t="str"/>
    </x:row>
    <x:row r="10" ht="42" customHeight="1">
      <x:c r="A10" s="40" t="str">
        <x:v>BR005</x:v>
      </x:c>
      <x:c r="B10" s="41" t="str">
        <x:v>D01</x:v>
      </x:c>
      <x:c r="C10" s="41" t="str">
        <x:v>吸力</x:v>
      </x:c>
      <x:c r="D10" s="41" t="str">
        <x:v>直接正向</x:v>
      </x:c>
      <x:c r="E10" s="41" t="str">
        <x:v>Suction remained strong through a twenty-minute session.</x:v>
      </x:c>
      <x:c r="F10" s="41" t="str"/>
      <x:c r="G10" s="41" t="str"/>
      <x:c r="H10" s="42" t="str"/>
    </x:row>
    <x:row r="11" ht="42" customHeight="1">
      <x:c r="A11" s="40" t="str">
        <x:v>BR006</x:v>
      </x:c>
      <x:c r="B11" s="41" t="str">
        <x:v>D01</x:v>
      </x:c>
      <x:c r="C11" s="41" t="str">
        <x:v>吸力</x:v>
      </x:c>
      <x:c r="D11" s="41" t="str">
        <x:v>新措辞负向</x:v>
      </x:c>
      <x:c r="E11" s="41" t="str">
        <x:v>The suction faded before I was finished.</x:v>
      </x:c>
      <x:c r="F11" s="41" t="str"/>
      <x:c r="G11" s="41" t="str"/>
      <x:c r="H11" s="42" t="str"/>
    </x:row>
    <x:row r="12" ht="42" customHeight="1">
      <x:c r="A12" s="40" t="str">
        <x:v>BR007</x:v>
      </x:c>
      <x:c r="B12" s="41" t="str">
        <x:v>D01</x:v>
      </x:c>
      <x:c r="C12" s="41" t="str">
        <x:v>吸力</x:v>
      </x:c>
      <x:c r="D12" s="41" t="str">
        <x:v>局部否定</x:v>
      </x:c>
      <x:c r="E12" s="41" t="str">
        <x:v>The suction is not weak when the cup is full.</x:v>
      </x:c>
      <x:c r="F12" s="41" t="str"/>
      <x:c r="G12" s="41" t="str"/>
      <x:c r="H12" s="42" t="str"/>
    </x:row>
    <x:row r="13" ht="42" customHeight="1">
      <x:c r="A13" s="40" t="str">
        <x:v>BR008</x:v>
      </x:c>
      <x:c r="B13" s="41" t="str">
        <x:v>D01</x:v>
      </x:c>
      <x:c r="C13" s="41" t="str">
        <x:v>吸力</x:v>
      </x:c>
      <x:c r="D13" s="41" t="str">
        <x:v>转折与双方面</x:v>
      </x:c>
      <x:c r="E13" s="41" t="str">
        <x:v>Strong suction saves time, although charging is slow overnight.</x:v>
      </x:c>
      <x:c r="F13" s="41" t="str"/>
      <x:c r="G13" s="41" t="str"/>
      <x:c r="H13" s="42" t="str"/>
    </x:row>
    <x:row r="14" ht="42" customHeight="1">
      <x:c r="A14" s="40" t="str">
        <x:v>BR009</x:v>
      </x:c>
      <x:c r="B14" s="41" t="str">
        <x:v>D01</x:v>
      </x:c>
      <x:c r="C14" s="41" t="str">
        <x:v>充电</x:v>
      </x:c>
      <x:c r="D14" s="41" t="str">
        <x:v>直接正向</x:v>
      </x:c>
      <x:c r="E14" s="41" t="str">
        <x:v>The battery lasted through two commutes without a recharge.</x:v>
      </x:c>
      <x:c r="F14" s="41" t="str"/>
      <x:c r="G14" s="41" t="str"/>
      <x:c r="H14" s="42" t="str"/>
    </x:row>
    <x:row r="15" ht="42" customHeight="1">
      <x:c r="A15" s="40" t="str">
        <x:v>BR010</x:v>
      </x:c>
      <x:c r="B15" s="41" t="str">
        <x:v>D01</x:v>
      </x:c>
      <x:c r="C15" s="41" t="str">
        <x:v>充电</x:v>
      </x:c>
      <x:c r="D15" s="41" t="str">
        <x:v>直接负向</x:v>
      </x:c>
      <x:c r="E15" s="41" t="str">
        <x:v>Battery life dies before lunch on a normal workday.</x:v>
      </x:c>
      <x:c r="F15" s="41" t="str"/>
      <x:c r="G15" s="41" t="str"/>
      <x:c r="H15" s="42" t="str"/>
    </x:row>
    <x:row r="16" ht="42" customHeight="1">
      <x:c r="A16" s="40" t="str">
        <x:v>BR011</x:v>
      </x:c>
      <x:c r="B16" s="41" t="str">
        <x:v>D01</x:v>
      </x:c>
      <x:c r="C16" s="41" t="str">
        <x:v>充电</x:v>
      </x:c>
      <x:c r="D16" s="41" t="str">
        <x:v>局部否定</x:v>
      </x:c>
      <x:c r="E16" s="41" t="str">
        <x:v>Charging is not slow with the supplied cable.</x:v>
      </x:c>
      <x:c r="F16" s="41" t="str"/>
      <x:c r="G16" s="41" t="str"/>
      <x:c r="H16" s="42" t="str"/>
    </x:row>
    <x:row r="17" ht="42" customHeight="1">
      <x:c r="A17" s="40" t="str">
        <x:v>BR012</x:v>
      </x:c>
      <x:c r="B17" s="41" t="str">
        <x:v>D01</x:v>
      </x:c>
      <x:c r="C17" s="41" t="str">
        <x:v>充电</x:v>
      </x:c>
      <x:c r="D17" s="41" t="str">
        <x:v>转折与近义表达</x:v>
      </x:c>
      <x:c r="E17" s="41" t="str">
        <x:v>The battery lasts, but the USB connection is difficult to reach.</x:v>
      </x:c>
      <x:c r="F17" s="41" t="str"/>
      <x:c r="G17" s="41" t="str"/>
      <x:c r="H17" s="42" t="str"/>
    </x:row>
    <x:row r="18" ht="42" customHeight="1">
      <x:c r="A18" s="40" t="str">
        <x:v>BR013</x:v>
      </x:c>
      <x:c r="B18" s="41" t="str">
        <x:v>D01</x:v>
      </x:c>
      <x:c r="C18" s="41" t="str">
        <x:v>尺寸重量</x:v>
      </x:c>
      <x:c r="D18" s="41" t="str">
        <x:v>直接正向</x:v>
      </x:c>
      <x:c r="E18" s="41" t="str">
        <x:v>The small body fits easily into my travel pouch.</x:v>
      </x:c>
      <x:c r="F18" s="41" t="str"/>
      <x:c r="G18" s="41" t="str"/>
      <x:c r="H18" s="42" t="str"/>
    </x:row>
    <x:row r="19" ht="42" customHeight="1">
      <x:c r="A19" s="40" t="str">
        <x:v>BR014</x:v>
      </x:c>
      <x:c r="B19" s="41" t="str">
        <x:v>D01</x:v>
      </x:c>
      <x:c r="C19" s="41" t="str">
        <x:v>尺寸重量</x:v>
      </x:c>
      <x:c r="D19" s="41" t="str">
        <x:v>直接负向</x:v>
      </x:c>
      <x:c r="E19" s="41" t="str">
        <x:v>It feels bulky in a small work bag.</x:v>
      </x:c>
      <x:c r="F19" s="41" t="str"/>
      <x:c r="G19" s="41" t="str"/>
      <x:c r="H19" s="42" t="str"/>
    </x:row>
    <x:row r="20" ht="42" customHeight="1">
      <x:c r="A20" s="40" t="str">
        <x:v>BR015</x:v>
      </x:c>
      <x:c r="B20" s="41" t="str">
        <x:v>D01</x:v>
      </x:c>
      <x:c r="C20" s="41" t="str">
        <x:v>尺寸重量</x:v>
      </x:c>
      <x:c r="D20" s="41" t="str">
        <x:v>局部否定</x:v>
      </x:c>
      <x:c r="E20" s="41" t="str">
        <x:v>The pump is not heavy once it is clipped on.</x:v>
      </x:c>
      <x:c r="F20" s="41" t="str"/>
      <x:c r="G20" s="41" t="str"/>
      <x:c r="H20" s="42" t="str"/>
    </x:row>
    <x:row r="21" ht="42" customHeight="1">
      <x:c r="A21" s="40" t="str">
        <x:v>BR016</x:v>
      </x:c>
      <x:c r="B21" s="41" t="str">
        <x:v>D01</x:v>
      </x:c>
      <x:c r="C21" s="41" t="str">
        <x:v>尺寸重量</x:v>
      </x:c>
      <x:c r="D21" s="41" t="str">
        <x:v>转折与双方面</x:v>
      </x:c>
      <x:c r="E21" s="41" t="str">
        <x:v>The compact size is helpful, but the flange presses too hard.</x:v>
      </x:c>
      <x:c r="F21" s="41" t="str"/>
      <x:c r="G21" s="41" t="str"/>
      <x:c r="H21" s="42" t="str"/>
    </x:row>
    <x:row r="22" ht="42" customHeight="1">
      <x:c r="A22" s="40" t="str">
        <x:v>BR017</x:v>
      </x:c>
      <x:c r="B22" s="41" t="str">
        <x:v>D01</x:v>
      </x:c>
      <x:c r="C22" s="41" t="str">
        <x:v>舒适度</x:v>
      </x:c>
      <x:c r="D22" s="41" t="str">
        <x:v>直接正向</x:v>
      </x:c>
      <x:c r="E22" s="41" t="str">
        <x:v>The soft flange stayed comfortable throughout the session.</x:v>
      </x:c>
      <x:c r="F22" s="41" t="str"/>
      <x:c r="G22" s="41" t="str"/>
      <x:c r="H22" s="42" t="str"/>
    </x:row>
    <x:row r="23" ht="42" customHeight="1">
      <x:c r="A23" s="40" t="str">
        <x:v>BR018</x:v>
      </x:c>
      <x:c r="B23" s="41" t="str">
        <x:v>D01</x:v>
      </x:c>
      <x:c r="C23" s="41" t="str">
        <x:v>舒适度</x:v>
      </x:c>
      <x:c r="D23" s="41" t="str">
        <x:v>直接负向</x:v>
      </x:c>
      <x:c r="E23" s="41" t="str">
        <x:v>My skin felt sore after a short session.</x:v>
      </x:c>
      <x:c r="F23" s="41" t="str"/>
      <x:c r="G23" s="41" t="str"/>
      <x:c r="H23" s="42" t="str"/>
    </x:row>
    <x:row r="24" ht="42" customHeight="1">
      <x:c r="A24" s="40" t="str">
        <x:v>BR019</x:v>
      </x:c>
      <x:c r="B24" s="41" t="str">
        <x:v>D01</x:v>
      </x:c>
      <x:c r="C24" s="41" t="str">
        <x:v>舒适度</x:v>
      </x:c>
      <x:c r="D24" s="41" t="str">
        <x:v>局部否定</x:v>
      </x:c>
      <x:c r="E24" s="41" t="str">
        <x:v>The flange is not uncomfortable once I use the right size.</x:v>
      </x:c>
      <x:c r="F24" s="41" t="str"/>
      <x:c r="G24" s="41" t="str"/>
      <x:c r="H24" s="42" t="str"/>
    </x:row>
    <x:row r="25" ht="42" customHeight="1">
      <x:c r="A25" s="40" t="str">
        <x:v>BR020</x:v>
      </x:c>
      <x:c r="B25" s="41" t="str">
        <x:v>D01</x:v>
      </x:c>
      <x:c r="C25" s="41" t="str">
        <x:v>舒适度</x:v>
      </x:c>
      <x:c r="D25" s="41" t="str">
        <x:v>转折与双方面</x:v>
      </x:c>
      <x:c r="E25" s="41" t="str">
        <x:v>The fit is comfortable, but the sound is still loud in meetings.</x:v>
      </x:c>
      <x:c r="F25" s="41" t="str"/>
      <x:c r="G25" s="41" t="str"/>
      <x:c r="H25" s="42" t="str"/>
    </x:row>
    <x:row r="26" ht="42" customHeight="1">
      <x:c r="A26" s="40" t="str">
        <x:v>BR021</x:v>
      </x:c>
      <x:c r="B26" s="41" t="str">
        <x:v>D01</x:v>
      </x:c>
      <x:c r="C26" s="41" t="str">
        <x:v>易用性</x:v>
      </x:c>
      <x:c r="D26" s="41" t="str">
        <x:v>直接正向</x:v>
      </x:c>
      <x:c r="E26" s="41" t="str">
        <x:v>Setup was simple before my first workday.</x:v>
      </x:c>
      <x:c r="F26" s="41" t="str"/>
      <x:c r="G26" s="41" t="str"/>
      <x:c r="H26" s="42" t="str"/>
    </x:row>
    <x:row r="27" ht="42" customHeight="1">
      <x:c r="A27" s="40" t="str">
        <x:v>BR022</x:v>
      </x:c>
      <x:c r="B27" s="41" t="str">
        <x:v>D01</x:v>
      </x:c>
      <x:c r="C27" s="41" t="str">
        <x:v>易用性</x:v>
      </x:c>
      <x:c r="D27" s="41" t="str">
        <x:v>直接负向</x:v>
      </x:c>
      <x:c r="E27" s="41" t="str">
        <x:v>Assembly is complicated when I have to clean it quickly.</x:v>
      </x:c>
      <x:c r="F27" s="41" t="str"/>
      <x:c r="G27" s="41" t="str"/>
      <x:c r="H27" s="42" t="str"/>
    </x:row>
    <x:row r="28" ht="42" customHeight="1">
      <x:c r="A28" s="40" t="str">
        <x:v>BR023</x:v>
      </x:c>
      <x:c r="B28" s="41" t="str">
        <x:v>D01</x:v>
      </x:c>
      <x:c r="C28" s="41" t="str">
        <x:v>易用性</x:v>
      </x:c>
      <x:c r="D28" s="41" t="str">
        <x:v>局部否定</x:v>
      </x:c>
      <x:c r="E28" s="41" t="str">
        <x:v>The instructions are not difficult to follow.</x:v>
      </x:c>
      <x:c r="F28" s="41" t="str"/>
      <x:c r="G28" s="41" t="str"/>
      <x:c r="H28" s="42" t="str"/>
    </x:row>
    <x:row r="29" ht="42" customHeight="1">
      <x:c r="A29" s="40" t="str">
        <x:v>BR024</x:v>
      </x:c>
      <x:c r="B29" s="41" t="str">
        <x:v>D01</x:v>
      </x:c>
      <x:c r="C29" s="41" t="str">
        <x:v>易用性</x:v>
      </x:c>
      <x:c r="D29" s="41" t="str">
        <x:v>转折与任务变化</x:v>
      </x:c>
      <x:c r="E29" s="41" t="str">
        <x:v>The guide is clear, but replacing the valve is difficult.</x:v>
      </x:c>
      <x:c r="F29" s="41" t="str"/>
      <x:c r="G29" s="41" t="str"/>
      <x:c r="H29" s="42" t="str"/>
    </x:row>
    <x:row r="30" ht="42" customHeight="1">
      <x:c r="A30" s="40" t="str">
        <x:v>BR025</x:v>
      </x:c>
      <x:c r="B30" s="41" t="str">
        <x:v>D01</x:v>
      </x:c>
      <x:c r="C30" s="41" t="str">
        <x:v>价格</x:v>
      </x:c>
      <x:c r="D30" s="41" t="str">
        <x:v>直接正向</x:v>
      </x:c>
      <x:c r="E30" s="41" t="str">
        <x:v>The price feels fair for something I use every day.</x:v>
      </x:c>
      <x:c r="F30" s="41" t="str"/>
      <x:c r="G30" s="41" t="str"/>
      <x:c r="H30" s="42" t="str"/>
    </x:row>
    <x:row r="31" ht="42" customHeight="1">
      <x:c r="A31" s="40" t="str">
        <x:v>BR026</x:v>
      </x:c>
      <x:c r="B31" s="41" t="str">
        <x:v>D01</x:v>
      </x:c>
      <x:c r="C31" s="41" t="str">
        <x:v>价格</x:v>
      </x:c>
      <x:c r="D31" s="41" t="str">
        <x:v>直接负向</x:v>
      </x:c>
      <x:c r="E31" s="41" t="str">
        <x:v>It is expensive for a pump with only one cup.</x:v>
      </x:c>
      <x:c r="F31" s="41" t="str"/>
      <x:c r="G31" s="41" t="str"/>
      <x:c r="H31" s="42" t="str"/>
    </x:row>
    <x:row r="32" ht="42" customHeight="1">
      <x:c r="A32" s="40" t="str">
        <x:v>BR027</x:v>
      </x:c>
      <x:c r="B32" s="41" t="str">
        <x:v>D01</x:v>
      </x:c>
      <x:c r="C32" s="41" t="str">
        <x:v>价格</x:v>
      </x:c>
      <x:c r="D32" s="41" t="str">
        <x:v>局部否定</x:v>
      </x:c>
      <x:c r="E32" s="41" t="str">
        <x:v>The price is not unreasonable after the discount.</x:v>
      </x:c>
      <x:c r="F32" s="41" t="str"/>
      <x:c r="G32" s="41" t="str"/>
      <x:c r="H32" s="42" t="str"/>
    </x:row>
    <x:row r="33" ht="42" customHeight="1">
      <x:c r="A33" s="40" t="str">
        <x:v>BR028</x:v>
      </x:c>
      <x:c r="B33" s="41" t="str">
        <x:v>D01</x:v>
      </x:c>
      <x:c r="C33" s="41" t="str">
        <x:v>价格</x:v>
      </x:c>
      <x:c r="D33" s="41" t="str">
        <x:v>转折与双价格词</x:v>
      </x:c>
      <x:c r="E33" s="41" t="str">
        <x:v>The value is good, but replacement cups cost too much.</x:v>
      </x:c>
      <x:c r="F33" s="41" t="str"/>
      <x:c r="G33" s="41" t="str"/>
      <x:c r="H33" s="42" t="str"/>
    </x:row>
    <x:row r="34" ht="42" customHeight="1">
      <x:c r="A34" s="40" t="str">
        <x:v>BR029</x:v>
      </x:c>
      <x:c r="B34" s="41" t="str">
        <x:v>D01</x:v>
      </x:c>
      <x:c r="C34" s="41" t="str">
        <x:v>客服</x:v>
      </x:c>
      <x:c r="D34" s="41" t="str">
        <x:v>直接正向</x:v>
      </x:c>
      <x:c r="E34" s="41" t="str">
        <x:v>Customer support was helpful when I needed a replacement part.</x:v>
      </x:c>
      <x:c r="F34" s="41" t="str"/>
      <x:c r="G34" s="41" t="str"/>
      <x:c r="H34" s="42" t="str"/>
    </x:row>
    <x:row r="35" ht="42" customHeight="1">
      <x:c r="A35" s="40" t="str">
        <x:v>BR030</x:v>
      </x:c>
      <x:c r="B35" s="41" t="str">
        <x:v>D01</x:v>
      </x:c>
      <x:c r="C35" s="41" t="str">
        <x:v>客服</x:v>
      </x:c>
      <x:c r="D35" s="41" t="str">
        <x:v>直接负向</x:v>
      </x:c>
      <x:c r="E35" s="41" t="str">
        <x:v>Customer service ignored my email for three days.</x:v>
      </x:c>
      <x:c r="F35" s="41" t="str"/>
      <x:c r="G35" s="41" t="str"/>
      <x:c r="H35" s="42" t="str"/>
    </x:row>
    <x:row r="36" ht="42" customHeight="1">
      <x:c r="A36" s="40" t="str">
        <x:v>BR031</x:v>
      </x:c>
      <x:c r="B36" s="41" t="str">
        <x:v>D01</x:v>
      </x:c>
      <x:c r="C36" s="41" t="str">
        <x:v>客服</x:v>
      </x:c>
      <x:c r="D36" s="41" t="str">
        <x:v>局部否定</x:v>
      </x:c>
      <x:c r="E36" s="41" t="str">
        <x:v>Support was not slow once I included the order number.</x:v>
      </x:c>
      <x:c r="F36" s="41" t="str"/>
      <x:c r="G36" s="41" t="str"/>
      <x:c r="H36" s="42" t="str"/>
    </x:row>
    <x:row r="37" ht="42" customHeight="1">
      <x:c r="A37" s="40" t="str">
        <x:v>BR032</x:v>
      </x:c>
      <x:c r="B37" s="41" t="str">
        <x:v>D01</x:v>
      </x:c>
      <x:c r="C37" s="41" t="str">
        <x:v>客服</x:v>
      </x:c>
      <x:c r="D37" s="41" t="str">
        <x:v>转折与双方面</x:v>
      </x:c>
      <x:c r="E37" s="41" t="str">
        <x:v>Support replied quickly, but delivery still arrived late.</x:v>
      </x:c>
      <x:c r="F37" s="41" t="str"/>
      <x:c r="G37" s="41" t="str"/>
      <x:c r="H37" s="42" t="str"/>
    </x:row>
    <x:row r="38" ht="42" customHeight="1">
      <x:c r="A38" s="40" t="str">
        <x:v>BR033</x:v>
      </x:c>
      <x:c r="B38" s="41" t="str">
        <x:v>D01</x:v>
      </x:c>
      <x:c r="C38" s="41" t="str">
        <x:v>物流</x:v>
      </x:c>
      <x:c r="D38" s="41" t="str">
        <x:v>直接正向</x:v>
      </x:c>
      <x:c r="E38" s="41" t="str">
        <x:v>Shipping was fast and the box arrived safely.</x:v>
      </x:c>
      <x:c r="F38" s="41" t="str"/>
      <x:c r="G38" s="41" t="str"/>
      <x:c r="H38" s="42" t="str"/>
    </x:row>
    <x:row r="39" ht="42" customHeight="1">
      <x:c r="A39" s="40" t="str">
        <x:v>BR034</x:v>
      </x:c>
      <x:c r="B39" s="41" t="str">
        <x:v>D01</x:v>
      </x:c>
      <x:c r="C39" s="41" t="str">
        <x:v>物流</x:v>
      </x:c>
      <x:c r="D39" s="41" t="str">
        <x:v>直接负向</x:v>
      </x:c>
      <x:c r="E39" s="41" t="str">
        <x:v>The package arrived late with no useful update.</x:v>
      </x:c>
      <x:c r="F39" s="41" t="str"/>
      <x:c r="G39" s="41" t="str"/>
      <x:c r="H39" s="42" t="str"/>
    </x:row>
    <x:row r="40" ht="42" customHeight="1">
      <x:c r="A40" s="40" t="str">
        <x:v>BR035</x:v>
      </x:c>
      <x:c r="B40" s="41" t="str">
        <x:v>D01</x:v>
      </x:c>
      <x:c r="C40" s="41" t="str">
        <x:v>物流</x:v>
      </x:c>
      <x:c r="D40" s="41" t="str">
        <x:v>局部否定</x:v>
      </x:c>
      <x:c r="E40" s="41" t="str">
        <x:v>Delivery was not delayed this time.</x:v>
      </x:c>
      <x:c r="F40" s="41" t="str"/>
      <x:c r="G40" s="41" t="str"/>
      <x:c r="H40" s="42" t="str"/>
    </x:row>
    <x:row r="41" ht="42" customHeight="1">
      <x:c r="A41" s="40" t="str">
        <x:v>BR036</x:v>
      </x:c>
      <x:c r="B41" s="41" t="str">
        <x:v>D01</x:v>
      </x:c>
      <x:c r="C41" s="41" t="str">
        <x:v>物流</x:v>
      </x:c>
      <x:c r="D41" s="41" t="str">
        <x:v>转折与双方面</x:v>
      </x:c>
      <x:c r="E41" s="41" t="str">
        <x:v>The package arrived early, but customer support could not answer a billing question.</x:v>
      </x:c>
      <x:c r="F41" s="41" t="str"/>
      <x:c r="G41" s="41" t="str"/>
      <x:c r="H41" s="42" t="str"/>
    </x:row>
    <x:row r="42" ht="42" customHeight="1">
      <x:c r="A42" s="40" t="str">
        <x:v>BR037</x:v>
      </x:c>
      <x:c r="B42" s="41" t="str">
        <x:v>D01</x:v>
      </x:c>
      <x:c r="C42" s="41" t="str">
        <x:v>未知主题</x:v>
      </x:c>
      <x:c r="D42" s="41" t="str">
        <x:v>词典外防漏</x:v>
      </x:c>
      <x:c r="E42" s="41" t="str">
        <x:v>Milk leaked when I bent to pick up a toy.</x:v>
      </x:c>
      <x:c r="F42" s="41" t="str"/>
      <x:c r="G42" s="41" t="str"/>
      <x:c r="H42" s="42" t="str"/>
    </x:row>
    <x:row r="43" ht="42" customHeight="1">
      <x:c r="A43" s="40" t="str">
        <x:v>BR038</x:v>
      </x:c>
      <x:c r="B43" s="41" t="str">
        <x:v>D01</x:v>
      </x:c>
      <x:c r="C43" s="41" t="str">
        <x:v>未知主题</x:v>
      </x:c>
      <x:c r="D43" s="41" t="str">
        <x:v>词典外防漏</x:v>
      </x:c>
      <x:c r="E43" s="41" t="str">
        <x:v>One quick turn caused a spill on my shirt.</x:v>
      </x:c>
      <x:c r="F43" s="41" t="str"/>
      <x:c r="G43" s="41" t="str"/>
      <x:c r="H43" s="42" t="str"/>
    </x:row>
    <x:row r="44" ht="42" customHeight="1">
      <x:c r="A44" s="40" t="str">
        <x:v>BR039</x:v>
      </x:c>
      <x:c r="B44" s="41" t="str">
        <x:v>D01</x:v>
      </x:c>
      <x:c r="C44" s="41" t="str">
        <x:v>未知主题</x:v>
      </x:c>
      <x:c r="D44" s="41" t="str">
        <x:v>应用与记录</x:v>
      </x:c>
      <x:c r="E44" s="41" t="str">
        <x:v>I need an app that remembers each pumping session.</x:v>
      </x:c>
      <x:c r="F44" s="41" t="str"/>
      <x:c r="G44" s="41" t="str"/>
      <x:c r="H44" s="42" t="str"/>
    </x:row>
    <x:row r="45" ht="42" customHeight="1">
      <x:c r="A45" s="40" t="str">
        <x:v>BR040</x:v>
      </x:c>
      <x:c r="B45" s="41" t="str">
        <x:v>D01</x:v>
      </x:c>
      <x:c r="C45" s="41" t="str">
        <x:v>未知主题</x:v>
      </x:c>
      <x:c r="D45" s="41" t="str">
        <x:v>显示与记录</x:v>
      </x:c>
      <x:c r="E45" s="41" t="str">
        <x:v>The screen should show how much milk I collected today.</x:v>
      </x:c>
      <x:c r="F45" s="41" t="str"/>
      <x:c r="G45" s="41" t="str"/>
      <x:c r="H45" s="42" t="str"/>
    </x:row>
    <x:row r="46" ht="42" customHeight="1">
      <x:c r="A46" s="40" t="str">
        <x:v>BR041</x:v>
      </x:c>
      <x:c r="B46" s="41" t="str">
        <x:v>D01</x:v>
      </x:c>
      <x:c r="C46" s="41" t="str">
        <x:v>未知主题</x:v>
      </x:c>
      <x:c r="D46" s="41" t="str">
        <x:v>清洁维护</x:v>
      </x:c>
      <x:c r="E46" s="41" t="str">
        <x:v>Cleaning the tiny valves takes longer than expected.</x:v>
      </x:c>
      <x:c r="F46" s="41" t="str"/>
      <x:c r="G46" s="41" t="str"/>
      <x:c r="H46" s="42" t="str"/>
    </x:row>
    <x:row r="47" ht="42" customHeight="1">
      <x:c r="A47" s="40" t="str">
        <x:v>BR042</x:v>
      </x:c>
      <x:c r="B47" s="41" t="str">
        <x:v>D01</x:v>
      </x:c>
      <x:c r="C47" s="41" t="str">
        <x:v>未知主题</x:v>
      </x:c>
      <x:c r="D47" s="41" t="str">
        <x:v>储存卫生</x:v>
      </x:c>
      <x:c r="E47" s="41" t="str">
        <x:v>I would like a case that keeps the parts sterile between trips.</x:v>
      </x:c>
      <x:c r="F47" s="41" t="str"/>
      <x:c r="G47" s="41" t="str"/>
      <x:c r="H47" s="42" t="str"/>
    </x:row>
    <x:row r="48" ht="42" customHeight="1">
      <x:c r="A48" s="40" t="str">
        <x:v>BR043</x:v>
      </x:c>
      <x:c r="B48" s="41" t="str">
        <x:v>D01</x:v>
      </x:c>
      <x:c r="C48" s="41" t="str">
        <x:v>未知主题</x:v>
      </x:c>
      <x:c r="D48" s="41" t="str">
        <x:v>保障条款</x:v>
      </x:c>
      <x:c r="E48" s="41" t="str">
        <x:v>The warranty wording is hard to understand before buying.</x:v>
      </x:c>
      <x:c r="F48" s="41" t="str"/>
      <x:c r="G48" s="41" t="str"/>
      <x:c r="H48" s="42" t="str"/>
    </x:row>
    <x:row r="49" ht="42" customHeight="1">
      <x:c r="A49" s="40" t="str">
        <x:v>BR044</x:v>
      </x:c>
      <x:c r="B49" s="41" t="str">
        <x:v>D01</x:v>
      </x:c>
      <x:c r="C49" s="41" t="str">
        <x:v>未知主题</x:v>
      </x:c>
      <x:c r="D49" s="41" t="str">
        <x:v>位置反馈</x:v>
      </x:c>
      <x:c r="E49" s="41" t="str">
        <x:v>I cannot tell whether the cup is aligned correctly from the mirror.</x:v>
      </x:c>
      <x:c r="F49" s="41" t="str"/>
      <x:c r="G49" s="41" t="str"/>
      <x:c r="H49" s="42" t="str"/>
    </x:row>
    <x:row r="50" ht="42" customHeight="1">
      <x:c r="A50" s="40" t="str">
        <x:v>BR045</x:v>
      </x:c>
      <x:c r="B50" s="41" t="str">
        <x:v>D01</x:v>
      </x:c>
      <x:c r="C50" s="41" t="str">
        <x:v>跨方面组合</x:v>
      </x:c>
      <x:c r="D50" s="41" t="str">
        <x:v>同向双方面</x:v>
      </x:c>
      <x:c r="E50" s="41" t="str">
        <x:v>The compact design is easy to pack, and the battery lasts all day.</x:v>
      </x:c>
      <x:c r="F50" s="41" t="str"/>
      <x:c r="G50" s="41" t="str"/>
      <x:c r="H50" s="42" t="str"/>
    </x:row>
    <x:row r="51" ht="42" customHeight="1">
      <x:c r="A51" s="40" t="str">
        <x:v>BR046</x:v>
      </x:c>
      <x:c r="B51" s="41" t="str">
        <x:v>D01</x:v>
      </x:c>
      <x:c r="C51" s="41" t="str">
        <x:v>跨方面组合</x:v>
      </x:c>
      <x:c r="D51" s="41" t="str">
        <x:v>转折双方面</x:v>
      </x:c>
      <x:c r="E51" s="41" t="str">
        <x:v>The quiet motor is nice, but the price still feels expensive.</x:v>
      </x:c>
      <x:c r="F51" s="41" t="str"/>
      <x:c r="G51" s="41" t="str"/>
      <x:c r="H51" s="42" t="str"/>
    </x:row>
    <x:row r="52" ht="42" customHeight="1">
      <x:c r="A52" s="40" t="str">
        <x:v>BR047</x:v>
      </x:c>
      <x:c r="B52" s="41" t="str">
        <x:v>D01</x:v>
      </x:c>
      <x:c r="C52" s="41" t="str">
        <x:v>跨方面组合</x:v>
      </x:c>
      <x:c r="D52" s="41" t="str">
        <x:v>双局部正向</x:v>
      </x:c>
      <x:c r="E52" s="41" t="str">
        <x:v>It is not loud, and the setup is simple after one practice run.</x:v>
      </x:c>
      <x:c r="F52" s="41" t="str"/>
      <x:c r="G52" s="41" t="str"/>
      <x:c r="H52" s="42" t="str"/>
    </x:row>
    <x:row r="53" ht="42" customHeight="1">
      <x:c r="A53" s="40" t="str">
        <x:v>BR048</x:v>
      </x:c>
      <x:c r="B53" s="41" t="str">
        <x:v>D01</x:v>
      </x:c>
      <x:c r="C53" s="41" t="str">
        <x:v>跨方面组合</x:v>
      </x:c>
      <x:c r="D53" s="41" t="str">
        <x:v>转折双方面</x:v>
      </x:c>
      <x:c r="E53" s="41" t="str">
        <x:v>The pump is lightweight, yet the suction is too weak for me.</x:v>
      </x:c>
      <x:c r="F53" s="41" t="str"/>
      <x:c r="G53" s="41" t="str"/>
      <x:c r="H53" s="42" t="str"/>
    </x:row>
    <x:row r="54" ht="42" customHeight="1">
      <x:c r="A54" s="88" t="str">
        <x:v>BQ001</x:v>
      </x:c>
      <x:c r="B54" s="89" t="str">
        <x:v>D02</x:v>
      </x:c>
      <x:c r="C54" s="89" t="str">
        <x:v>比较意图</x:v>
      </x:c>
      <x:c r="D54" s="89" t="str">
        <x:v>比较基线</x:v>
      </x:c>
      <x:c r="E54" s="89" t="str">
        <x:v>best wearable pump for travel</x:v>
      </x:c>
      <x:c r="F54" s="89" t="str">
        <x:v>2026-11</x:v>
      </x:c>
      <x:c r="G54" s="90" t="n">
        <x:v>5200</x:v>
      </x:c>
      <x:c r="H54" s="91" t="n">
        <x:v>0.41</x:v>
      </x:c>
    </x:row>
    <x:row r="55" ht="42" customHeight="1">
      <x:c r="A55" s="40" t="str">
        <x:v>BQ002</x:v>
      </x:c>
      <x:c r="B55" s="41" t="str">
        <x:v>D02</x:v>
      </x:c>
      <x:c r="C55" s="41" t="str">
        <x:v>比较意图</x:v>
      </x:c>
      <x:c r="D55" s="41" t="str">
        <x:v>比较连接词</x:v>
      </x:c>
      <x:c r="E55" s="41" t="str">
        <x:v>wearable pump vs traditional pump</x:v>
      </x:c>
      <x:c r="F55" s="41" t="str">
        <x:v>2026-11</x:v>
      </x:c>
      <x:c r="G55" s="80" t="n">
        <x:v>4700</x:v>
      </x:c>
      <x:c r="H55" s="82" t="n">
        <x:v>0.38</x:v>
      </x:c>
    </x:row>
    <x:row r="56" ht="42" customHeight="1">
      <x:c r="A56" s="40" t="str">
        <x:v>BQ003</x:v>
      </x:c>
      <x:c r="B56" s="41" t="str">
        <x:v>D02</x:v>
      </x:c>
      <x:c r="C56" s="41" t="str">
        <x:v>比较意图</x:v>
      </x:c>
      <x:c r="D56" s="41" t="str">
        <x:v>比较与尺寸</x:v>
      </x:c>
      <x:c r="E56" s="41" t="str">
        <x:v>better breast pump for small bags</x:v>
      </x:c>
      <x:c r="F56" s="41" t="str">
        <x:v>2026-11</x:v>
      </x:c>
      <x:c r="G56" s="80" t="n">
        <x:v>3600</x:v>
      </x:c>
      <x:c r="H56" s="82" t="n">
        <x:v>0.45</x:v>
      </x:c>
    </x:row>
    <x:row r="57" ht="42" customHeight="1">
      <x:c r="A57" s="40" t="str">
        <x:v>BQ004</x:v>
      </x:c>
      <x:c r="B57" s="41" t="str">
        <x:v>D02</x:v>
      </x:c>
      <x:c r="C57" s="41" t="str">
        <x:v>比较意图</x:v>
      </x:c>
      <x:c r="D57" s="41" t="str">
        <x:v>比较优先级</x:v>
      </x:c>
      <x:c r="E57" s="41" t="str">
        <x:v>top quiet pump alternatives</x:v>
      </x:c>
      <x:c r="F57" s="41" t="str">
        <x:v>2026-11</x:v>
      </x:c>
      <x:c r="G57" s="80" t="n">
        <x:v>4100</x:v>
      </x:c>
      <x:c r="H57" s="82" t="n">
        <x:v>0.35</x:v>
      </x:c>
    </x:row>
    <x:row r="58" ht="42" customHeight="1">
      <x:c r="A58" s="40" t="str">
        <x:v>BQ005</x:v>
      </x:c>
      <x:c r="B58" s="41" t="str">
        <x:v>D02</x:v>
      </x:c>
      <x:c r="C58" s="41" t="str">
        <x:v>比较意图</x:v>
      </x:c>
      <x:c r="D58" s="41" t="str">
        <x:v>比较与属性</x:v>
      </x:c>
      <x:c r="E58" s="41" t="str">
        <x:v>compare wearable pumps with long battery</x:v>
      </x:c>
      <x:c r="F58" s="41" t="str">
        <x:v>2026-11</x:v>
      </x:c>
      <x:c r="G58" s="80" t="n">
        <x:v>3900</x:v>
      </x:c>
      <x:c r="H58" s="82" t="n">
        <x:v>0.49</x:v>
      </x:c>
    </x:row>
    <x:row r="59" ht="42" customHeight="1">
      <x:c r="A59" s="40" t="str">
        <x:v>BQ006</x:v>
      </x:c>
      <x:c r="B59" s="41" t="str">
        <x:v>D02</x:v>
      </x:c>
      <x:c r="C59" s="41" t="str">
        <x:v>比较意图</x:v>
      </x:c>
      <x:c r="D59" s="41" t="str">
        <x:v>场景不改比较</x:v>
      </x:c>
      <x:c r="E59" s="41" t="str">
        <x:v>best pump alternative for office</x:v>
      </x:c>
      <x:c r="F59" s="41" t="str">
        <x:v>2026-11</x:v>
      </x:c>
      <x:c r="G59" s="80" t="n">
        <x:v>4300</x:v>
      </x:c>
      <x:c r="H59" s="82" t="n">
        <x:v>0.46</x:v>
      </x:c>
    </x:row>
    <x:row r="60" ht="42" customHeight="1">
      <x:c r="A60" s="40" t="str">
        <x:v>BQ007</x:v>
      </x:c>
      <x:c r="B60" s="41" t="str">
        <x:v>D02</x:v>
      </x:c>
      <x:c r="C60" s="41" t="str">
        <x:v>问题意图</x:v>
      </x:c>
      <x:c r="D60" s="41" t="str">
        <x:v>阈值等于门槛</x:v>
      </x:c>
      <x:c r="E60" s="41" t="str">
        <x:v>wearable pump suction weak</x:v>
      </x:c>
      <x:c r="F60" s="41" t="str">
        <x:v>2026-11</x:v>
      </x:c>
      <x:c r="G60" s="80" t="n">
        <x:v>4000</x:v>
      </x:c>
      <x:c r="H60" s="82" t="n">
        <x:v>0.28</x:v>
      </x:c>
    </x:row>
    <x:row r="61" ht="42" customHeight="1">
      <x:c r="A61" s="40" t="str">
        <x:v>BQ008</x:v>
      </x:c>
      <x:c r="B61" s="41" t="str">
        <x:v>D02</x:v>
      </x:c>
      <x:c r="C61" s="41" t="str">
        <x:v>问题意图</x:v>
      </x:c>
      <x:c r="D61" s="41" t="str">
        <x:v>阈值低于门槛</x:v>
      </x:c>
      <x:c r="E61" s="41" t="str">
        <x:v>wearable pump suction weak</x:v>
      </x:c>
      <x:c r="F61" s="41" t="str">
        <x:v>2026-11</x:v>
      </x:c>
      <x:c r="G61" s="80" t="n">
        <x:v>3999</x:v>
      </x:c>
      <x:c r="H61" s="82" t="n">
        <x:v>0.28</x:v>
      </x:c>
    </x:row>
    <x:row r="62" ht="42" customHeight="1">
      <x:c r="A62" s="40" t="str">
        <x:v>BQ009</x:v>
      </x:c>
      <x:c r="B62" s="41" t="str">
        <x:v>D02</x:v>
      </x:c>
      <x:c r="C62" s="41" t="str">
        <x:v>问题意图</x:v>
      </x:c>
      <x:c r="D62" s="41" t="str">
        <x:v>词典外问题</x:v>
      </x:c>
      <x:c r="E62" s="41" t="str">
        <x:v>breast pump leaks when bending</x:v>
      </x:c>
      <x:c r="F62" s="41" t="str">
        <x:v>2026-11</x:v>
      </x:c>
      <x:c r="G62" s="80" t="n">
        <x:v>6100</x:v>
      </x:c>
      <x:c r="H62" s="82" t="n">
        <x:v>0.31</x:v>
      </x:c>
    </x:row>
    <x:row r="63" ht="42" customHeight="1">
      <x:c r="A63" s="40" t="str">
        <x:v>BQ010</x:v>
      </x:c>
      <x:c r="B63" s="41" t="str">
        <x:v>D02</x:v>
      </x:c>
      <x:c r="C63" s="41" t="str">
        <x:v>问题意图</x:v>
      </x:c>
      <x:c r="D63" s="41" t="str">
        <x:v>舒适度问题</x:v>
      </x:c>
      <x:c r="E63" s="41" t="str">
        <x:v>wearable pump hurts after twenty minutes</x:v>
      </x:c>
      <x:c r="F63" s="41" t="str">
        <x:v>2026-11</x:v>
      </x:c>
      <x:c r="G63" s="80" t="n">
        <x:v>4500</x:v>
      </x:c>
      <x:c r="H63" s="82" t="n">
        <x:v>0.39</x:v>
      </x:c>
    </x:row>
    <x:row r="64" ht="42" customHeight="1">
      <x:c r="A64" s="40" t="str">
        <x:v>BQ011</x:v>
      </x:c>
      <x:c r="B64" s="41" t="str">
        <x:v>D02</x:v>
      </x:c>
      <x:c r="C64" s="41" t="str">
        <x:v>问题意图</x:v>
      </x:c>
      <x:c r="D64" s="41" t="str">
        <x:v>低量级边界</x:v>
      </x:c>
      <x:c r="E64" s="41" t="str">
        <x:v>pump battery drains during commute</x:v>
      </x:c>
      <x:c r="F64" s="41" t="str">
        <x:v>2026-11</x:v>
      </x:c>
      <x:c r="G64" s="80" t="n">
        <x:v>3800</x:v>
      </x:c>
      <x:c r="H64" s="82" t="n">
        <x:v>0.33</x:v>
      </x:c>
    </x:row>
    <x:row r="65" ht="42" customHeight="1">
      <x:c r="A65" s="40" t="str">
        <x:v>BQ012</x:v>
      </x:c>
      <x:c r="B65" s="41" t="str">
        <x:v>D02</x:v>
      </x:c>
      <x:c r="C65" s="41" t="str">
        <x:v>问题意图</x:v>
      </x:c>
      <x:c r="D65" s="41" t="str">
        <x:v>噪音问题</x:v>
      </x:c>
      <x:c r="E65" s="41" t="str">
        <x:v>pump noise too loud for calls</x:v>
      </x:c>
      <x:c r="F65" s="41" t="str">
        <x:v>2026-11</x:v>
      </x:c>
      <x:c r="G65" s="80" t="n">
        <x:v>7200</x:v>
      </x:c>
      <x:c r="H65" s="82" t="n">
        <x:v>0.26</x:v>
      </x:c>
    </x:row>
    <x:row r="66" ht="42" customHeight="1">
      <x:c r="A66" s="40" t="str">
        <x:v>BQ013</x:v>
      </x:c>
      <x:c r="B66" s="41" t="str">
        <x:v>D02</x:v>
      </x:c>
      <x:c r="C66" s="41" t="str">
        <x:v>功能意图</x:v>
      </x:c>
      <x:c r="D66" s="41" t="str">
        <x:v>明确操作任务</x:v>
      </x:c>
      <x:c r="E66" s="41" t="str">
        <x:v>how to clean a wearable pump</x:v>
      </x:c>
      <x:c r="F66" s="41" t="str">
        <x:v>2026-11</x:v>
      </x:c>
      <x:c r="G66" s="80" t="n">
        <x:v>5400</x:v>
      </x:c>
      <x:c r="H66" s="82" t="n">
        <x:v>0.52</x:v>
      </x:c>
    </x:row>
    <x:row r="67" ht="42" customHeight="1">
      <x:c r="A67" s="40" t="str">
        <x:v>BQ014</x:v>
      </x:c>
      <x:c r="B67" s="41" t="str">
        <x:v>D02</x:v>
      </x:c>
      <x:c r="C67" s="41" t="str">
        <x:v>功能意图</x:v>
      </x:c>
      <x:c r="D67" s="41" t="str">
        <x:v>更换任务</x:v>
      </x:c>
      <x:c r="E67" s="41" t="str">
        <x:v>wearable pump flange replacement instructions</x:v>
      </x:c>
      <x:c r="F67" s="41" t="str">
        <x:v>2026-11</x:v>
      </x:c>
      <x:c r="G67" s="80" t="n">
        <x:v>4200</x:v>
      </x:c>
      <x:c r="H67" s="82" t="n">
        <x:v>0.48</x:v>
      </x:c>
    </x:row>
    <x:row r="68" ht="42" customHeight="1">
      <x:c r="A68" s="40" t="str">
        <x:v>BQ015</x:v>
      </x:c>
      <x:c r="B68" s="41" t="str">
        <x:v>D02</x:v>
      </x:c>
      <x:c r="C68" s="41" t="str">
        <x:v>功能意图</x:v>
      </x:c>
      <x:c r="D68" s="41" t="str">
        <x:v>卫生任务</x:v>
      </x:c>
      <x:c r="E68" s="41" t="str">
        <x:v>how to sterilize pump parts</x:v>
      </x:c>
      <x:c r="F68" s="41" t="str">
        <x:v>2026-11</x:v>
      </x:c>
      <x:c r="G68" s="80" t="n">
        <x:v>4600</x:v>
      </x:c>
      <x:c r="H68" s="82" t="n">
        <x:v>0.51</x:v>
      </x:c>
    </x:row>
    <x:row r="69" ht="42" customHeight="1">
      <x:c r="A69" s="40" t="str">
        <x:v>BQ016</x:v>
      </x:c>
      <x:c r="B69" s="41" t="str">
        <x:v>D02</x:v>
      </x:c>
      <x:c r="C69" s="41" t="str">
        <x:v>功能意图</x:v>
      </x:c>
      <x:c r="D69" s="41" t="str">
        <x:v>安装任务</x:v>
      </x:c>
      <x:c r="E69" s="41" t="str">
        <x:v>install wearable pump collection cup</x:v>
      </x:c>
      <x:c r="F69" s="41" t="str">
        <x:v>2026-11</x:v>
      </x:c>
      <x:c r="G69" s="80" t="n">
        <x:v>3500</x:v>
      </x:c>
      <x:c r="H69" s="82" t="n">
        <x:v>0.47</x:v>
      </x:c>
    </x:row>
    <x:row r="70" ht="42" customHeight="1">
      <x:c r="A70" s="40" t="str">
        <x:v>BQ017</x:v>
      </x:c>
      <x:c r="B70" s="41" t="str">
        <x:v>D02</x:v>
      </x:c>
      <x:c r="C70" s="41" t="str">
        <x:v>功能意图</x:v>
      </x:c>
      <x:c r="D70" s="41" t="str">
        <x:v>问题词与任务冲突</x:v>
      </x:c>
      <x:c r="E70" s="41" t="str">
        <x:v>clean noisy wearable pump</x:v>
      </x:c>
      <x:c r="F70" s="41" t="str">
        <x:v>2026-11</x:v>
      </x:c>
      <x:c r="G70" s="80" t="n">
        <x:v>4300</x:v>
      </x:c>
      <x:c r="H70" s="82" t="n">
        <x:v>0.44</x:v>
      </x:c>
    </x:row>
    <x:row r="71" ht="42" customHeight="1">
      <x:c r="A71" s="40" t="str">
        <x:v>BQ018</x:v>
      </x:c>
      <x:c r="B71" s="41" t="str">
        <x:v>D02</x:v>
      </x:c>
      <x:c r="C71" s="41" t="str">
        <x:v>功能意图</x:v>
      </x:c>
      <x:c r="D71" s="41" t="str">
        <x:v>问题词与任务冲突</x:v>
      </x:c>
      <x:c r="E71" s="41" t="str">
        <x:v>how to replace a weak pump valve</x:v>
      </x:c>
      <x:c r="F71" s="41" t="str">
        <x:v>2026-11</x:v>
      </x:c>
      <x:c r="G71" s="80" t="n">
        <x:v>4050</x:v>
      </x:c>
      <x:c r="H71" s="82" t="n">
        <x:v>0.5</x:v>
      </x:c>
    </x:row>
    <x:row r="72" ht="42" customHeight="1">
      <x:c r="A72" s="40" t="str">
        <x:v>BQ019</x:v>
      </x:c>
      <x:c r="B72" s="41" t="str">
        <x:v>D02</x:v>
      </x:c>
      <x:c r="C72" s="41" t="str">
        <x:v>导航意图</x:v>
      </x:c>
      <x:c r="D72" s="41" t="str">
        <x:v>政策查找</x:v>
      </x:c>
      <x:c r="E72" s="41" t="str">
        <x:v>wearable pump return policy</x:v>
      </x:c>
      <x:c r="F72" s="41" t="str">
        <x:v>2026-11</x:v>
      </x:c>
      <x:c r="G72" s="80" t="n">
        <x:v>5100</x:v>
      </x:c>
      <x:c r="H72" s="82" t="n">
        <x:v>0.55</x:v>
      </x:c>
    </x:row>
    <x:row r="73" ht="42" customHeight="1">
      <x:c r="A73" s="40" t="str">
        <x:v>BQ020</x:v>
      </x:c>
      <x:c r="B73" s="41" t="str">
        <x:v>D02</x:v>
      </x:c>
      <x:c r="C73" s="41" t="str">
        <x:v>导航意图</x:v>
      </x:c>
      <x:c r="D73" s="41" t="str">
        <x:v>订单状态</x:v>
      </x:c>
      <x:c r="E73" s="41" t="str">
        <x:v>wearable pump shipping status</x:v>
      </x:c>
      <x:c r="F73" s="41" t="str">
        <x:v>2026-11</x:v>
      </x:c>
      <x:c r="G73" s="80" t="n">
        <x:v>4800</x:v>
      </x:c>
      <x:c r="H73" s="82" t="n">
        <x:v>0.58</x:v>
      </x:c>
    </x:row>
    <x:row r="74" ht="42" customHeight="1">
      <x:c r="A74" s="40" t="str">
        <x:v>BQ021</x:v>
      </x:c>
      <x:c r="B74" s="41" t="str">
        <x:v>D02</x:v>
      </x:c>
      <x:c r="C74" s="41" t="str">
        <x:v>导航意图</x:v>
      </x:c>
      <x:c r="D74" s="41" t="str">
        <x:v>服务入口</x:v>
      </x:c>
      <x:c r="E74" s="41" t="str">
        <x:v>wearable pump customer service phone number</x:v>
      </x:c>
      <x:c r="F74" s="41" t="str">
        <x:v>2026-11</x:v>
      </x:c>
      <x:c r="G74" s="80" t="n">
        <x:v>3300</x:v>
      </x:c>
      <x:c r="H74" s="82" t="n">
        <x:v>0.61</x:v>
      </x:c>
    </x:row>
    <x:row r="75" ht="42" customHeight="1">
      <x:c r="A75" s="40" t="str">
        <x:v>BQ022</x:v>
      </x:c>
      <x:c r="B75" s="41" t="str">
        <x:v>D02</x:v>
      </x:c>
      <x:c r="C75" s="41" t="str">
        <x:v>导航意图</x:v>
      </x:c>
      <x:c r="D75" s="41" t="str">
        <x:v>保障入口</x:v>
      </x:c>
      <x:c r="E75" s="41" t="str">
        <x:v>pump warranty claim page</x:v>
      </x:c>
      <x:c r="F75" s="41" t="str">
        <x:v>2026-11</x:v>
      </x:c>
      <x:c r="G75" s="80" t="n">
        <x:v>2900</x:v>
      </x:c>
      <x:c r="H75" s="82" t="n">
        <x:v>0.57</x:v>
      </x:c>
    </x:row>
    <x:row r="76" ht="42" customHeight="1">
      <x:c r="A76" s="40" t="str">
        <x:v>BQ023</x:v>
      </x:c>
      <x:c r="B76" s="41" t="str">
        <x:v>D02</x:v>
      </x:c>
      <x:c r="C76" s="41" t="str">
        <x:v>导航意图</x:v>
      </x:c>
      <x:c r="D76" s="41" t="str">
        <x:v>订单跟踪</x:v>
      </x:c>
      <x:c r="E76" s="41" t="str">
        <x:v>wearable pump order tracking</x:v>
      </x:c>
      <x:c r="F76" s="41" t="str">
        <x:v>2026-11</x:v>
      </x:c>
      <x:c r="G76" s="80" t="n">
        <x:v>3600</x:v>
      </x:c>
      <x:c r="H76" s="82" t="n">
        <x:v>0.54</x:v>
      </x:c>
    </x:row>
    <x:row r="77" ht="42" customHeight="1">
      <x:c r="A77" s="40" t="str">
        <x:v>BQ024</x:v>
      </x:c>
      <x:c r="B77" s="41" t="str">
        <x:v>D02</x:v>
      </x:c>
      <x:c r="C77" s="41" t="str">
        <x:v>导航意图</x:v>
      </x:c>
      <x:c r="D77" s="41" t="str">
        <x:v>零件订单状态</x:v>
      </x:c>
      <x:c r="E77" s="41" t="str">
        <x:v>replacement cup shipping status</x:v>
      </x:c>
      <x:c r="F77" s="41" t="str">
        <x:v>2026-11</x:v>
      </x:c>
      <x:c r="G77" s="80" t="n">
        <x:v>3100</x:v>
      </x:c>
      <x:c r="H77" s="82" t="n">
        <x:v>0.59</x:v>
      </x:c>
    </x:row>
    <x:row r="78" ht="42" customHeight="1">
      <x:c r="A78" s="40" t="str">
        <x:v>BQ025</x:v>
      </x:c>
      <x:c r="B78" s="41" t="str">
        <x:v>D02</x:v>
      </x:c>
      <x:c r="C78" s="41" t="str">
        <x:v>属性意图</x:v>
      </x:c>
      <x:c r="D78" s="41" t="str">
        <x:v>静音属性</x:v>
      </x:c>
      <x:c r="E78" s="41" t="str">
        <x:v>quiet wearable pump</x:v>
      </x:c>
      <x:c r="F78" s="41" t="str">
        <x:v>2026-11</x:v>
      </x:c>
      <x:c r="G78" s="80" t="n">
        <x:v>6800</x:v>
      </x:c>
      <x:c r="H78" s="82" t="n">
        <x:v>0.42</x:v>
      </x:c>
    </x:row>
    <x:row r="79" ht="42" customHeight="1">
      <x:c r="A79" s="40" t="str">
        <x:v>BQ026</x:v>
      </x:c>
      <x:c r="B79" s="41" t="str">
        <x:v>D02</x:v>
      </x:c>
      <x:c r="C79" s="41" t="str">
        <x:v>属性意图</x:v>
      </x:c>
      <x:c r="D79" s="41" t="str">
        <x:v>续航属性</x:v>
      </x:c>
      <x:c r="E79" s="41" t="str">
        <x:v>hands free breast pump with long battery life</x:v>
      </x:c>
      <x:c r="F79" s="41" t="str">
        <x:v>2026-11</x:v>
      </x:c>
      <x:c r="G79" s="80" t="n">
        <x:v>5900</x:v>
      </x:c>
      <x:c r="H79" s="82" t="n">
        <x:v>0.43</x:v>
      </x:c>
    </x:row>
    <x:row r="80" ht="42" customHeight="1">
      <x:c r="A80" s="40" t="str">
        <x:v>BQ027</x:v>
      </x:c>
      <x:c r="B80" s="41" t="str">
        <x:v>D02</x:v>
      </x:c>
      <x:c r="C80" s="41" t="str">
        <x:v>属性意图</x:v>
      </x:c>
      <x:c r="D80" s="41" t="str">
        <x:v>尺寸属性</x:v>
      </x:c>
      <x:c r="E80" s="41" t="str">
        <x:v>portable pump for small bag</x:v>
      </x:c>
      <x:c r="F80" s="41" t="str">
        <x:v>2026-11</x:v>
      </x:c>
      <x:c r="G80" s="80" t="n">
        <x:v>4400</x:v>
      </x:c>
      <x:c r="H80" s="82" t="n">
        <x:v>0.46</x:v>
      </x:c>
    </x:row>
    <x:row r="81" ht="42" customHeight="1">
      <x:c r="A81" s="40" t="str">
        <x:v>BQ028</x:v>
      </x:c>
      <x:c r="B81" s="41" t="str">
        <x:v>D02</x:v>
      </x:c>
      <x:c r="C81" s="41" t="str">
        <x:v>属性意图</x:v>
      </x:c>
      <x:c r="D81" s="41" t="str">
        <x:v>形态属性</x:v>
      </x:c>
      <x:c r="E81" s="41" t="str">
        <x:v>wireless double wearable pump</x:v>
      </x:c>
      <x:c r="F81" s="41" t="str">
        <x:v>2026-11</x:v>
      </x:c>
      <x:c r="G81" s="80" t="n">
        <x:v>4100</x:v>
      </x:c>
      <x:c r="H81" s="82" t="n">
        <x:v>0.4</x:v>
      </x:c>
    </x:row>
    <x:row r="82" ht="42" customHeight="1">
      <x:c r="A82" s="40" t="str">
        <x:v>BQ029</x:v>
      </x:c>
      <x:c r="B82" s="41" t="str">
        <x:v>D02</x:v>
      </x:c>
      <x:c r="C82" s="41" t="str">
        <x:v>属性意图</x:v>
      </x:c>
      <x:c r="D82" s="41" t="str">
        <x:v>配件属性</x:v>
      </x:c>
      <x:c r="E82" s="41" t="str">
        <x:v>wearable pump flange size</x:v>
      </x:c>
      <x:c r="F82" s="41" t="str">
        <x:v>2026-11</x:v>
      </x:c>
      <x:c r="G82" s="80" t="n">
        <x:v>3700</x:v>
      </x:c>
      <x:c r="H82" s="82" t="n">
        <x:v>0.52</x:v>
      </x:c>
    </x:row>
    <x:row r="83" ht="42" customHeight="1">
      <x:c r="A83" s="40" t="str">
        <x:v>BQ030</x:v>
      </x:c>
      <x:c r="B83" s="41" t="str">
        <x:v>D02</x:v>
      </x:c>
      <x:c r="C83" s="41" t="str">
        <x:v>属性意图</x:v>
      </x:c>
      <x:c r="D83" s="41" t="str">
        <x:v>充电属性</x:v>
      </x:c>
      <x:c r="E83" s="41" t="str">
        <x:v>usb charge wearable pump</x:v>
      </x:c>
      <x:c r="F83" s="41" t="str">
        <x:v>2026-11</x:v>
      </x:c>
      <x:c r="G83" s="80" t="n">
        <x:v>3500</x:v>
      </x:c>
      <x:c r="H83" s="82" t="n">
        <x:v>0.47</x:v>
      </x:c>
    </x:row>
    <x:row r="84" ht="42" customHeight="1">
      <x:c r="A84" s="40" t="str">
        <x:v>BQ031</x:v>
      </x:c>
      <x:c r="B84" s="41" t="str">
        <x:v>D02</x:v>
      </x:c>
      <x:c r="C84" s="41" t="str">
        <x:v>优先级碰撞</x:v>
      </x:c>
      <x:c r="D84" s="41" t="str">
        <x:v>比较优先于问题词</x:v>
      </x:c>
      <x:c r="E84" s="41" t="str">
        <x:v>best pump for leaking while traveling</x:v>
      </x:c>
      <x:c r="F84" s="41" t="str">
        <x:v>2026-11</x:v>
      </x:c>
      <x:c r="G84" s="80" t="n">
        <x:v>6300</x:v>
      </x:c>
      <x:c r="H84" s="82" t="n">
        <x:v>0.32</x:v>
      </x:c>
    </x:row>
    <x:row r="85" ht="42" customHeight="1">
      <x:c r="A85" s="40" t="str">
        <x:v>BQ032</x:v>
      </x:c>
      <x:c r="B85" s="41" t="str">
        <x:v>D02</x:v>
      </x:c>
      <x:c r="C85" s="41" t="str">
        <x:v>优先级碰撞</x:v>
      </x:c>
      <x:c r="D85" s="41" t="str">
        <x:v>任务优先于问题词</x:v>
      </x:c>
      <x:c r="E85" s="41" t="str">
        <x:v>how to clean a pump that leaks</x:v>
      </x:c>
      <x:c r="F85" s="41" t="str">
        <x:v>2026-11</x:v>
      </x:c>
      <x:c r="G85" s="80" t="n">
        <x:v>5500</x:v>
      </x:c>
      <x:c r="H85" s="82" t="n">
        <x:v>0.37</x:v>
      </x:c>
    </x:row>
    <x:row r="86" ht="42" customHeight="1">
      <x:c r="A86" s="40" t="str">
        <x:v>BQ033</x:v>
      </x:c>
      <x:c r="B86" s="41" t="str">
        <x:v>D02</x:v>
      </x:c>
      <x:c r="C86" s="41" t="str">
        <x:v>优先级碰撞</x:v>
      </x:c>
      <x:c r="D86" s="41" t="str">
        <x:v>导航优先于问题词</x:v>
      </x:c>
      <x:c r="E86" s="41" t="str">
        <x:v>return policy for a noisy pump</x:v>
      </x:c>
      <x:c r="F86" s="41" t="str">
        <x:v>2026-11</x:v>
      </x:c>
      <x:c r="G86" s="80" t="n">
        <x:v>4900</x:v>
      </x:c>
      <x:c r="H86" s="82" t="n">
        <x:v>0.49</x:v>
      </x:c>
    </x:row>
    <x:row r="87" ht="42" customHeight="1">
      <x:c r="A87" s="40" t="str">
        <x:v>BQ034</x:v>
      </x:c>
      <x:c r="B87" s="41" t="str">
        <x:v>D02</x:v>
      </x:c>
      <x:c r="C87" s="41" t="str">
        <x:v>优先级碰撞</x:v>
      </x:c>
      <x:c r="D87" s="41" t="str">
        <x:v>属性与否定问题</x:v>
      </x:c>
      <x:c r="E87" s="41" t="str">
        <x:v>silent pump that does not leak</x:v>
      </x:c>
      <x:c r="F87" s="41" t="str">
        <x:v>2026-11</x:v>
      </x:c>
      <x:c r="G87" s="80" t="n">
        <x:v>4050</x:v>
      </x:c>
      <x:c r="H87" s="82" t="n">
        <x:v>0.34</x:v>
      </x:c>
    </x:row>
    <x:row r="88" ht="42" customHeight="1">
      <x:c r="A88" s="40" t="str">
        <x:v>BQ035</x:v>
      </x:c>
      <x:c r="B88" s="41" t="str">
        <x:v>D02</x:v>
      </x:c>
      <x:c r="C88" s="41" t="str">
        <x:v>阈值边界</x:v>
      </x:c>
      <x:c r="D88" s="41" t="str">
        <x:v>高于门槛一条</x:v>
      </x:c>
      <x:c r="E88" s="41" t="str">
        <x:v>wearable pump loud during commute</x:v>
      </x:c>
      <x:c r="F88" s="41" t="str">
        <x:v>2026-11</x:v>
      </x:c>
      <x:c r="G88" s="80" t="n">
        <x:v>4001</x:v>
      </x:c>
      <x:c r="H88" s="82" t="n">
        <x:v>0.25</x:v>
      </x:c>
    </x:row>
    <x:row r="89" ht="42" customHeight="1">
      <x:c r="A89" s="40" t="str">
        <x:v>BQ036</x:v>
      </x:c>
      <x:c r="B89" s="41" t="str">
        <x:v>D02</x:v>
      </x:c>
      <x:c r="C89" s="41" t="str">
        <x:v>阈值边界</x:v>
      </x:c>
      <x:c r="D89" s="41" t="str">
        <x:v>低于门槛两条</x:v>
      </x:c>
      <x:c r="E89" s="41" t="str">
        <x:v>wearable pump loud during commute</x:v>
      </x:c>
      <x:c r="F89" s="41" t="str">
        <x:v>2026-11</x:v>
      </x:c>
      <x:c r="G89" s="80" t="n">
        <x:v>3998</x:v>
      </x:c>
      <x:c r="H89" s="82" t="n">
        <x:v>0.25</x:v>
      </x:c>
    </x:row>
    <x:row r="90" ht="42" customHeight="1">
      <x:c r="A90" s="40" t="str">
        <x:v>BQ037</x:v>
      </x:c>
      <x:c r="B90" s="41" t="str">
        <x:v>D02</x:v>
      </x:c>
      <x:c r="C90" s="41" t="str">
        <x:v>阈值边界</x:v>
      </x:c>
      <x:c r="D90" s="41" t="str">
        <x:v>点击率不改准入</x:v>
      </x:c>
      <x:c r="E90" s="41" t="str">
        <x:v>pump battery drains during commute</x:v>
      </x:c>
      <x:c r="F90" s="41" t="str">
        <x:v>2026-11</x:v>
      </x:c>
      <x:c r="G90" s="80" t="n">
        <x:v>4000</x:v>
      </x:c>
      <x:c r="H90" s="82" t="n">
        <x:v>0.66</x:v>
      </x:c>
    </x:row>
    <x:row r="91" ht="42" customHeight="1">
      <x:c r="A91" s="40" t="str">
        <x:v>BQ038</x:v>
      </x:c>
      <x:c r="B91" s="41" t="str">
        <x:v>D02</x:v>
      </x:c>
      <x:c r="C91" s="41" t="str">
        <x:v>阈值边界</x:v>
      </x:c>
      <x:c r="D91" s="41" t="str">
        <x:v>点击率不替代量级</x:v>
      </x:c>
      <x:c r="E91" s="41" t="str">
        <x:v>pump battery drains during commute</x:v>
      </x:c>
      <x:c r="F91" s="41" t="str">
        <x:v>2026-11</x:v>
      </x:c>
      <x:c r="G91" s="80" t="n">
        <x:v>3999</x:v>
      </x:c>
      <x:c r="H91" s="82" t="n">
        <x:v>0.12</x:v>
      </x:c>
    </x:row>
    <x:row r="92" ht="42" customHeight="1">
      <x:c r="A92" s="40" t="str">
        <x:v>BQ039</x:v>
      </x:c>
      <x:c r="B92" s="41" t="str">
        <x:v>D02</x:v>
      </x:c>
      <x:c r="C92" s="41" t="str">
        <x:v>阈值边界</x:v>
      </x:c>
      <x:c r="D92" s="41" t="str">
        <x:v>词典外问题等于门槛</x:v>
      </x:c>
      <x:c r="E92" s="41" t="str">
        <x:v>wearable pump leaks after bending</x:v>
      </x:c>
      <x:c r="F92" s="41" t="str">
        <x:v>2026-11</x:v>
      </x:c>
      <x:c r="G92" s="80" t="n">
        <x:v>4000</x:v>
      </x:c>
      <x:c r="H92" s="82" t="n">
        <x:v>0.3</x:v>
      </x:c>
    </x:row>
    <x:row r="93" ht="42" customHeight="1">
      <x:c r="A93" s="43" t="str">
        <x:v>BQ040</x:v>
      </x:c>
      <x:c r="B93" s="44" t="str">
        <x:v>D02</x:v>
      </x:c>
      <x:c r="C93" s="44" t="str">
        <x:v>阈值边界</x:v>
      </x:c>
      <x:c r="D93" s="44" t="str">
        <x:v>词典外问题低于门槛</x:v>
      </x:c>
      <x:c r="E93" s="44" t="str">
        <x:v>wearable pump leaks after bending</x:v>
      </x:c>
      <x:c r="F93" s="44" t="str">
        <x:v>2026-11</x:v>
      </x:c>
      <x:c r="G93" s="81" t="n">
        <x:v>3999</x:v>
      </x:c>
      <x:c r="H93" s="83" t="n">
        <x:v>0.3</x:v>
      </x:c>
    </x:row>
    <x:row r="95" ht="44" customHeight="1">
      <x:c r="A95" s="77" t="str">
        <x:v>输入边界</x:v>
      </x:c>
      <x:c r="B95" s="78" t="str">
        <x:v>全量合成</x:v>
      </x:c>
      <x:c r="C95" s="78" t="str">
        <x:v>不含金标</x:v>
      </x:c>
      <x:c r="D95" s="78" t="str">
        <x:v>不能读取为真实消费者或经营数据</x:v>
      </x:c>
      <x:c r="E95" s="78" t="str">
        <x:v>未知主题、反例和阈值边界都被保留，避免只用易命中样本。</x:v>
      </x:c>
      <x:c r="F95" s="78" t="str"/>
      <x:c r="G95" s="78" t="str"/>
      <x:c r="H95" s="7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A5D19"/>
  </x:sheetPr>
  <x:sheetViews>
    <x:sheetView showGridLines="0" workbookViewId="0"/>
  </x:sheetViews>
  <x:sheetFormatPr defaultRowHeight="15"/>
  <x:cols>
    <x:col min="1" max="1" width="25" hidden="0" customWidth="1"/>
    <x:col min="2" max="2" width="33" hidden="0" customWidth="1"/>
    <x:col min="3" max="3" width="54" hidden="0" customWidth="1"/>
    <x:col min="4" max="4" width="28" hidden="0" customWidth="1"/>
  </x:cols>
  <x:sheetData>
    <x:row r="2">
      <x:c r="A2" s="1" t="str">
        <x:v>评分与硬门槛</x:v>
      </x:c>
    </x:row>
    <x:row r="3" ht="30" customHeight="1">
      <x:c r="A3" s="3" t="str">
        <x:v>评分前先检查角色分离、金标锁定、输入完整性与候选版本指纹；任一缺失都应拒绝评分。</x:v>
      </x:c>
    </x:row>
    <x:row r="4">
      <x:c r="A4" s="4"/>
      <x:c r="B4" s="4"/>
      <x:c r="C4" s="4"/>
      <x:c r="D4" s="4"/>
    </x:row>
    <x:row r="5" ht="30" customHeight="1">
      <x:c r="A5" s="16" t="str">
        <x:v>检查项</x:v>
      </x:c>
      <x:c r="B5" s="17" t="str">
        <x:v>通过标准</x:v>
      </x:c>
      <x:c r="C5" s="17" t="str">
        <x:v>为什么要检查</x:v>
      </x:c>
      <x:c r="D5" s="18" t="str">
        <x:v>未通过时</x:v>
      </x:c>
    </x:row>
    <x:row r="6" ht="48" customHeight="1">
      <x:c r="A6" s="37" t="str">
        <x:v>独立金标锁定</x:v>
      </x:c>
      <x:c r="B6" s="38" t="str">
        <x:v>金标指纹、独立复核责任、锁定时间齐全</x:v>
      </x:c>
      <x:c r="C6" s="38" t="str">
        <x:v>防止实现者或原有标签设计者在看见候选结果后改标。</x:v>
      </x:c>
      <x:c r="D6" s="39" t="str">
        <x:v>拒绝评分，回到独立复核。</x:v>
      </x:c>
    </x:row>
    <x:row r="7" ht="48" customHeight="1">
      <x:c r="A7" s="40" t="str">
        <x:v>D01 覆盖完整性</x:v>
      </x:c>
      <x:c r="B7" s="41" t="str">
        <x:v>48 条输入逐条返回 ID 与方面/情感输出</x:v>
      </x:c>
      <x:c r="C7" s="41" t="str">
        <x:v>缺记录会把未表现当作未出错。</x:v>
      </x:c>
      <x:c r="D7" s="42" t="str">
        <x:v>拒绝评分，重新提交。</x:v>
      </x:c>
    </x:row>
    <x:row r="8" ht="48" customHeight="1">
      <x:c r="A8" s="40" t="str">
        <x:v>D01 精确匹配</x:v>
      </x:c>
      <x:c r="B8" s="41" t="str">
        <x:v>至少 90%</x:v>
      </x:c>
      <x:c r="C8" s="41" t="str">
        <x:v>检验局部方面、情感和未知主题是否稳定。</x:v>
      </x:c>
      <x:c r="D8" s="42" t="str">
        <x:v>回到候选修复。</x:v>
      </x:c>
    </x:row>
    <x:row r="9" ht="48" customHeight="1">
      <x:c r="A9" s="40" t="str">
        <x:v>D02 覆盖完整性</x:v>
      </x:c>
      <x:c r="B9" s="41" t="str">
        <x:v>40 条输入逐条返回 ID、意图、情感与规则命中</x:v>
      </x:c>
      <x:c r="C9" s="41" t="str">
        <x:v>确保结果可回到原始输入和候选版本。</x:v>
      </x:c>
      <x:c r="D9" s="42" t="str">
        <x:v>拒绝评分，重新提交。</x:v>
      </x:c>
    </x:row>
    <x:row r="10" ht="48" customHeight="1">
      <x:c r="A10" s="40" t="str">
        <x:v>D02 语义精确匹配</x:v>
      </x:c>
      <x:c r="B10" s="41" t="str">
        <x:v>至少 90%</x:v>
      </x:c>
      <x:c r="C10" s="41" t="str">
        <x:v>检验比较、问题、功能、导航与属性边界。</x:v>
      </x:c>
      <x:c r="D10" s="42" t="str">
        <x:v>回到候选修复。</x:v>
      </x:c>
    </x:row>
    <x:row r="11" ht="48" customHeight="1">
      <x:c r="A11" s="40" t="str">
        <x:v>D02 规则边界</x:v>
      </x:c>
      <x:c r="B11" s="41" t="str">
        <x:v>100%</x:v>
      </x:c>
      <x:c r="C11" s="41" t="str">
        <x:v>机会规则不能静默跨过问题意图、负面表达或量级门槛。</x:v>
      </x:c>
      <x:c r="D11" s="42" t="str">
        <x:v>回到候选修复。</x:v>
      </x:c>
    </x:row>
    <x:row r="12" ht="48" customHeight="1">
      <x:c r="A12" s="43" t="str">
        <x:v>通过后的下一步</x:v>
      </x:c>
      <x:c r="B12" s="44" t="str">
        <x:v>只可设计真实样本数据合同</x:v>
      </x:c>
      <x:c r="C12" s="44" t="str">
        <x:v>盲测不是数据授权，也不是经营决定。</x:v>
      </x:c>
      <x:c r="D12" s="45" t="str">
        <x:v>不得直接接入真实数据。</x:v>
      </x:c>
    </x:row>
    <x:row r="14" ht="44" customHeight="1">
      <x:c r="A14" s="66" t="str">
        <x:v>评分脚本的硬拒绝条件</x:v>
      </x:c>
      <x:c r="B14" s="67" t="str">
        <x:v>没有 gold_label_lock.json、指纹不一致、角色/时间缺失、输入或输出记录集合不完整。</x:v>
      </x:c>
      <x:c r="C14" s="67" t="str"/>
      <x:c r="D14" s="6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B252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8" hidden="0" customWidth="1"/>
    <x:col min="4" max="4" width="38" hidden="0" customWidth="1"/>
    <x:col min="5" max="5" width="18" hidden="0" customWidth="1"/>
    <x:col min="6" max="6" width="38" hidden="0" customWidth="1"/>
  </x:cols>
  <x:sheetData>
    <x:row r="2">
      <x:c r="A2" s="1" t="str">
        <x:v>独立盲测执行登记</x:v>
      </x:c>
    </x:row>
    <x:row r="3" ht="30" customHeight="1">
      <x:c r="A3" s="3" t="str">
        <x:v>本页用于记录实际交接。空白表示尚未完成，不可补写为通过。</x:v>
      </x:c>
    </x:row>
    <x:row r="4">
      <x:c r="A4" s="4"/>
      <x:c r="B4" s="4"/>
      <x:c r="C4" s="4"/>
      <x:c r="D4" s="4"/>
      <x:c r="E4" s="4"/>
      <x:c r="F4" s="4"/>
    </x:row>
    <x:row r="5" ht="30" customHeight="1">
      <x:c r="A5" s="16" t="str">
        <x:v>步骤</x:v>
      </x:c>
      <x:c r="B5" s="17" t="str">
        <x:v>责任角色</x:v>
      </x:c>
      <x:c r="C5" s="17" t="str">
        <x:v>完成时间</x:v>
      </x:c>
      <x:c r="D5" s="17" t="str">
        <x:v>证据或文件指纹</x:v>
      </x:c>
      <x:c r="E5" s="17" t="str">
        <x:v>状态</x:v>
      </x:c>
      <x:c r="F5" s="18" t="str">
        <x:v>复核结论</x:v>
      </x:c>
    </x:row>
    <x:row r="6" ht="42" customHeight="1">
      <x:c r="A6" s="37" t="str">
        <x:v>复核并锁定金标</x:v>
      </x:c>
      <x:c r="B6" s="38" t="str">
        <x:v>独立标注复核</x:v>
      </x:c>
      <x:c r="C6" s="38" t="str"/>
      <x:c r="D6" s="38" t="str">
        <x:v>gold_label_lock.json</x:v>
      </x:c>
      <x:c r="E6" s="38" t="str">
        <x:v>待独立评审</x:v>
      </x:c>
      <x:c r="F6" s="39" t="str"/>
    </x:row>
    <x:row r="7" ht="42" customHeight="1">
      <x:c r="A7" s="40" t="str">
        <x:v>核对候选版本</x:v>
      </x:c>
      <x:c r="B7" s="41" t="str">
        <x:v>独立执行</x:v>
      </x:c>
      <x:c r="C7" s="41" t="str"/>
      <x:c r="D7" s="41" t="str">
        <x:v>D01/D02 SHA-256</x:v>
      </x:c>
      <x:c r="E7" s="41" t="str">
        <x:v>待独立执行</x:v>
      </x:c>
      <x:c r="F7" s="42" t="str"/>
    </x:row>
    <x:row r="8" ht="42" customHeight="1">
      <x:c r="A8" s="40" t="str">
        <x:v>运行并提交逐条输出</x:v>
      </x:c>
      <x:c r="B8" s="41" t="str">
        <x:v>独立执行</x:v>
      </x:c>
      <x:c r="C8" s="41" t="str"/>
      <x:c r="D8" s="41" t="str">
        <x:v>独立提交 JSON</x:v>
      </x:c>
      <x:c r="E8" s="41" t="str">
        <x:v>待独立执行</x:v>
      </x:c>
      <x:c r="F8" s="42" t="str"/>
    </x:row>
    <x:row r="9" ht="42" customHeight="1">
      <x:c r="A9" s="40" t="str">
        <x:v>运行评分与复核结果</x:v>
      </x:c>
      <x:c r="B9" s="41" t="str">
        <x:v>结果复核</x:v>
      </x:c>
      <x:c r="C9" s="41" t="str"/>
      <x:c r="D9" s="41" t="str">
        <x:v>b01_blind_evaluation_result.json</x:v>
      </x:c>
      <x:c r="E9" s="41" t="str">
        <x:v>待独立复核</x:v>
      </x:c>
      <x:c r="F9" s="42" t="str"/>
    </x:row>
    <x:row r="10" ht="42" customHeight="1">
      <x:c r="A10" s="43" t="str">
        <x:v>设计真实样本数据合同</x:v>
      </x:c>
      <x:c r="B10" s="44" t="str">
        <x:v>有权责任方与数据责任方</x:v>
      </x:c>
      <x:c r="C10" s="44" t="str"/>
      <x:c r="D10" s="44" t="str">
        <x:v>合同或批准记录</x:v>
      </x:c>
      <x:c r="E10" s="44" t="str">
        <x:v>未开始</x:v>
      </x:c>
      <x:c r="F10" s="45" t="str">
        <x:v>不得接入真实数据</x:v>
      </x:c>
    </x:row>
    <x:row r="12" ht="42" customHeight="1">
      <x:c r="A12" s="77" t="str">
        <x:v>记录原则</x:v>
      </x:c>
      <x:c r="B12" s="78" t="str">
        <x:v>角色分离、完成时间、版本指纹和结果复核都需要留痕；没有记录的步骤视为未完成。</x:v>
      </x:c>
      <x:c r="C12" s="78" t="str"/>
      <x:c r="D12" s="78" t="str"/>
      <x:c r="E12" s="78" t="str"/>
      <x:c r="F12" s="79" t="str"/>
    </x:row>
  </x:sheetData>
  <x:conditionalFormatting sqref="E6:E10">
    <x:cfRule type="containsText" dxfId="0" priority="1" operator="containsText" text="待"/>
    <x:cfRule type="containsText" dxfId="1" priority="2" operator="containsText" text="未开始"/>
  </x:conditionalFormatting>
  <x:pageMargins left="0.7" right="0.7" top="0.75" bottom="0.75" header="0.3" footer="0.3"/>
</x:worksheet>
</file>